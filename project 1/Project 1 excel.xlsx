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c676b0e92a77068/Desktop/aastha excel project/project 1/"/>
    </mc:Choice>
  </mc:AlternateContent>
  <xr:revisionPtr revIDLastSave="0" documentId="8_{1CEF2B50-D01B-4C8D-958D-C91CFD27BC6F}" xr6:coauthVersionLast="47" xr6:coauthVersionMax="47" xr10:uidLastSave="{00000000-0000-0000-0000-000000000000}"/>
  <bookViews>
    <workbookView xWindow="-108" yWindow="-108" windowWidth="23256" windowHeight="12456" firstSheet="9" activeTab="15" xr2:uid="{00000000-000D-0000-FFFF-FFFF00000000}"/>
  </bookViews>
  <sheets>
    <sheet name="01_Relative_Absolute" sheetId="1" r:id="rId1"/>
    <sheet name="02_Nested_IF" sheetId="2" r:id="rId2"/>
    <sheet name="03_IF_AND_OR" sheetId="3" r:id="rId3"/>
    <sheet name="04_COUNTIFS_SUMIFS" sheetId="4" r:id="rId4"/>
    <sheet name="05_VLOOKUP_Student" sheetId="5" r:id="rId5"/>
    <sheet name="06_VLOOKUP_Product" sheetId="6" r:id="rId6"/>
    <sheet name="07_INDEX_MATCH" sheetId="7" r:id="rId7"/>
    <sheet name="08_Employee" sheetId="8" r:id="rId8"/>
    <sheet name="09_TEXT" sheetId="9" r:id="rId9"/>
    <sheet name="10_XLOOKUP" sheetId="10" r:id="rId10"/>
    <sheet name="11_XMATCH" sheetId="11" r:id="rId11"/>
    <sheet name="12_INDIRECT" sheetId="12" r:id="rId12"/>
    <sheet name="13_OFFSET" sheetId="13" r:id="rId13"/>
    <sheet name="14_Date_Time" sheetId="14" r:id="rId14"/>
    <sheet name="15_Math" sheetId="15" r:id="rId15"/>
    <sheet name="16_FILTER" sheetId="16" r:id="rId1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8" l="1"/>
  <c r="F1" i="16" a="1"/>
  <c r="E2" i="11"/>
  <c r="J17" i="10"/>
  <c r="J13" i="10"/>
  <c r="J2" i="8"/>
  <c r="F34" i="4"/>
  <c r="F35" i="4"/>
  <c r="F36" i="4"/>
  <c r="F14" i="5"/>
  <c r="F11" i="15"/>
  <c r="E11" i="15"/>
  <c r="D11" i="15"/>
  <c r="F10" i="15"/>
  <c r="E10" i="15"/>
  <c r="D10" i="15"/>
  <c r="F9" i="15"/>
  <c r="E9" i="15"/>
  <c r="D9" i="15"/>
  <c r="F8" i="15"/>
  <c r="E8" i="15"/>
  <c r="D8" i="15"/>
  <c r="F7" i="15"/>
  <c r="E7" i="15"/>
  <c r="D7" i="15"/>
  <c r="F6" i="15"/>
  <c r="E6" i="15"/>
  <c r="D6" i="15"/>
  <c r="F5" i="15"/>
  <c r="E5" i="15"/>
  <c r="D5" i="15"/>
  <c r="F4" i="15"/>
  <c r="E4" i="15"/>
  <c r="D4" i="15"/>
  <c r="F3" i="15"/>
  <c r="E3" i="15"/>
  <c r="D3" i="15"/>
  <c r="F2" i="15"/>
  <c r="E2" i="15"/>
  <c r="D2" i="15"/>
  <c r="G11" i="14"/>
  <c r="F11" i="14"/>
  <c r="G10" i="14"/>
  <c r="F10" i="14"/>
  <c r="G9" i="14"/>
  <c r="F9" i="14"/>
  <c r="G8" i="14"/>
  <c r="F8" i="14"/>
  <c r="G7" i="14"/>
  <c r="F7" i="14"/>
  <c r="G6" i="14"/>
  <c r="F6" i="14"/>
  <c r="G5" i="14"/>
  <c r="F5" i="14"/>
  <c r="G4" i="14"/>
  <c r="F4" i="14"/>
  <c r="G3" i="14"/>
  <c r="F3" i="14"/>
  <c r="G2" i="14"/>
  <c r="F2" i="14"/>
  <c r="E3" i="13"/>
  <c r="E2" i="13"/>
  <c r="E2" i="12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B4" i="9"/>
  <c r="D3" i="9"/>
  <c r="C3" i="9"/>
  <c r="B3" i="9"/>
  <c r="D2" i="9"/>
  <c r="C2" i="9"/>
  <c r="B2" i="9"/>
  <c r="G11" i="8"/>
  <c r="G10" i="8"/>
  <c r="G9" i="8"/>
  <c r="G8" i="8"/>
  <c r="G7" i="8"/>
  <c r="G6" i="8"/>
  <c r="G5" i="8"/>
  <c r="G4" i="8"/>
  <c r="G3" i="8"/>
  <c r="G2" i="8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G3" i="7" s="1"/>
  <c r="G15" i="6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G21" i="1"/>
  <c r="E21" i="1"/>
  <c r="F21" i="1" s="1"/>
  <c r="G20" i="1"/>
  <c r="E20" i="1"/>
  <c r="F20" i="1" s="1"/>
  <c r="G19" i="1"/>
  <c r="E19" i="1"/>
  <c r="F19" i="1" s="1"/>
  <c r="G18" i="1"/>
  <c r="E18" i="1"/>
  <c r="F18" i="1" s="1"/>
  <c r="G17" i="1"/>
  <c r="E17" i="1"/>
  <c r="F17" i="1" s="1"/>
  <c r="G16" i="1"/>
  <c r="E16" i="1"/>
  <c r="F16" i="1" s="1"/>
  <c r="G15" i="1"/>
  <c r="E15" i="1"/>
  <c r="F15" i="1" s="1"/>
  <c r="G14" i="1"/>
  <c r="E14" i="1"/>
  <c r="F14" i="1" s="1"/>
  <c r="G13" i="1"/>
  <c r="E13" i="1"/>
  <c r="F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F7" i="1" s="1"/>
  <c r="G6" i="1"/>
  <c r="E6" i="1"/>
  <c r="F6" i="1" s="1"/>
  <c r="G5" i="1"/>
  <c r="E5" i="1"/>
  <c r="F5" i="1" s="1"/>
  <c r="G4" i="1"/>
  <c r="E4" i="1"/>
  <c r="F4" i="1" s="1"/>
  <c r="G3" i="1"/>
  <c r="E3" i="1"/>
  <c r="F3" i="1" s="1"/>
  <c r="G2" i="1"/>
  <c r="E2" i="1"/>
  <c r="F2" i="1" s="1"/>
  <c r="G4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<sst xmlns="http://schemas.openxmlformats.org/spreadsheetml/2006/main" count="622" uniqueCount="149">
  <si>
    <t>Product</t>
  </si>
  <si>
    <t>Sales</t>
  </si>
  <si>
    <t>Search Product</t>
  </si>
  <si>
    <t>Tablet</t>
  </si>
  <si>
    <t>Laptop</t>
  </si>
  <si>
    <t>Position</t>
  </si>
  <si>
    <t>Mobile</t>
  </si>
  <si>
    <t>Name</t>
  </si>
  <si>
    <t>Price</t>
  </si>
  <si>
    <t>Tax Rate</t>
  </si>
  <si>
    <t>Quantity</t>
  </si>
  <si>
    <t>Tax Amount</t>
  </si>
  <si>
    <t>final price</t>
  </si>
  <si>
    <t>Total Amount</t>
  </si>
  <si>
    <t>Priya</t>
  </si>
  <si>
    <t>Nikita</t>
  </si>
  <si>
    <t>Rahul</t>
  </si>
  <si>
    <t>Riya</t>
  </si>
  <si>
    <t>Amit</t>
  </si>
  <si>
    <t>Neha</t>
  </si>
  <si>
    <t>Jay</t>
  </si>
  <si>
    <t>Kiran</t>
  </si>
  <si>
    <t>Pooja</t>
  </si>
  <si>
    <t>Arjun</t>
  </si>
  <si>
    <t>Meera</t>
  </si>
  <si>
    <t>Vivek</t>
  </si>
  <si>
    <t>Sahil</t>
  </si>
  <si>
    <t>Anjali</t>
  </si>
  <si>
    <t>Manav</t>
  </si>
  <si>
    <t>Isha</t>
  </si>
  <si>
    <t>Dev</t>
  </si>
  <si>
    <t>Komal</t>
  </si>
  <si>
    <t>Yash</t>
  </si>
  <si>
    <t>Hetal</t>
  </si>
  <si>
    <t>ID</t>
  </si>
  <si>
    <t>Math</t>
  </si>
  <si>
    <t>Grade</t>
  </si>
  <si>
    <t>Discount</t>
  </si>
  <si>
    <t>OR Result</t>
  </si>
  <si>
    <t>Science</t>
  </si>
  <si>
    <t>AND RESULT</t>
  </si>
  <si>
    <t>Region</t>
  </si>
  <si>
    <t>North</t>
  </si>
  <si>
    <t>South</t>
  </si>
  <si>
    <t>West</t>
  </si>
  <si>
    <t>East</t>
  </si>
  <si>
    <t>Count Math &gt; 50</t>
  </si>
  <si>
    <t>North Laptop Sales</t>
  </si>
  <si>
    <t>Average Math &gt; 60</t>
  </si>
  <si>
    <t>Student ID</t>
  </si>
  <si>
    <t>Student Name</t>
  </si>
  <si>
    <t>Search ID</t>
  </si>
  <si>
    <t>Product Code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</si>
  <si>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</si>
  <si>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</si>
  <si>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</si>
  <si>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</si>
  <si>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</si>
  <si>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</si>
  <si>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</si>
  <si>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</si>
  <si>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</si>
  <si>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</si>
  <si>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</si>
  <si>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</si>
  <si>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</si>
  <si>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Search Product Code</t>
  </si>
  <si>
    <t>P114</t>
  </si>
  <si>
    <t>Product Price</t>
  </si>
  <si>
    <t>P115</t>
  </si>
  <si>
    <t>P116</t>
  </si>
  <si>
    <t>P117</t>
  </si>
  <si>
    <t>P118</t>
  </si>
  <si>
    <t>P119</t>
  </si>
  <si>
    <t>P120</t>
  </si>
  <si>
    <t>Salesperson</t>
  </si>
  <si>
    <t>Month</t>
  </si>
  <si>
    <t>Key</t>
  </si>
  <si>
    <t>Jan</t>
  </si>
  <si>
    <t>Feb</t>
  </si>
  <si>
    <t>Sales Value</t>
  </si>
  <si>
    <t>Mar</t>
  </si>
  <si>
    <t>Employee Details</t>
  </si>
  <si>
    <t>Employee ID</t>
  </si>
  <si>
    <t>Employee Name</t>
  </si>
  <si>
    <t>Department</t>
  </si>
  <si>
    <t>Salary</t>
  </si>
  <si>
    <t>Joining Date</t>
  </si>
  <si>
    <t>Date Analysis</t>
  </si>
  <si>
    <t>Search Employee ID</t>
  </si>
  <si>
    <t>HR</t>
  </si>
  <si>
    <t>Employee Salary</t>
  </si>
  <si>
    <t>IT</t>
  </si>
  <si>
    <t>Search Joining Date</t>
  </si>
  <si>
    <t>Finance</t>
  </si>
  <si>
    <t>Full Name</t>
  </si>
  <si>
    <t>First Name</t>
  </si>
  <si>
    <t>UPPER</t>
  </si>
  <si>
    <t>LOWER</t>
  </si>
  <si>
    <t>Priya Patel</t>
  </si>
  <si>
    <t>Nikita Shah</t>
  </si>
  <si>
    <t>Rahul Mehta</t>
  </si>
  <si>
    <t>Riya Desai</t>
  </si>
  <si>
    <t>Amit Joshi</t>
  </si>
  <si>
    <t>Jay Shah</t>
  </si>
  <si>
    <t>Kiran Mehta</t>
  </si>
  <si>
    <t>Pooja Desai</t>
  </si>
  <si>
    <t>Arjun Joshi</t>
  </si>
  <si>
    <t>Cell Reference</t>
  </si>
  <si>
    <t>B5</t>
  </si>
  <si>
    <t>Sales from Reference</t>
  </si>
  <si>
    <t>Apr</t>
  </si>
  <si>
    <t>May</t>
  </si>
  <si>
    <t>Jun</t>
  </si>
  <si>
    <t>Jul</t>
  </si>
  <si>
    <t>Aug</t>
  </si>
  <si>
    <t>Sep</t>
  </si>
  <si>
    <t>Oct</t>
  </si>
  <si>
    <t>Starting Cell</t>
  </si>
  <si>
    <t>B2</t>
  </si>
  <si>
    <t>Sales after 4 rows</t>
  </si>
  <si>
    <t>Dynamic Sales Range</t>
  </si>
  <si>
    <t>Date of Birth</t>
  </si>
  <si>
    <t>Start Date</t>
  </si>
  <si>
    <t>End Date</t>
  </si>
  <si>
    <t>Age</t>
  </si>
  <si>
    <t>Days Difference</t>
  </si>
  <si>
    <t>Item</t>
  </si>
  <si>
    <t>Amount</t>
  </si>
  <si>
    <t>ROUND</t>
  </si>
  <si>
    <t>CEILING</t>
  </si>
  <si>
    <t>FLOOR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</si>
  <si>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</si>
  <si>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</si>
  <si>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</si>
  <si>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</si>
  <si>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</si>
  <si>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</si>
  <si>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</si>
  <si>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</si>
  <si>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</si>
  <si>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</si>
  <si>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Score</t>
  </si>
  <si>
    <t>Top Students (&gt;80)</t>
  </si>
  <si>
    <t>rahul</t>
  </si>
  <si>
    <t xml:space="preserve">Aastha </t>
  </si>
  <si>
    <t>Aastha</t>
  </si>
  <si>
    <t>p111</t>
  </si>
  <si>
    <t>Aastha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</si>
</sst>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F7"/>
        <bgColor rgb="FF000000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0" fillId="0" borderId="2" xfId="0" applyBorder="1"/>
    <xf numFmtId="0" fontId="0" fillId="0" borderId="1" xfId="0" applyBorder="1"/>
    <xf numFmtId="0" fontId="6" fillId="7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4" borderId="0" xfId="0" applyFont="1" applyFill="1"/>
    <xf numFmtId="0" fontId="4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151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D9EAF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D9EAF7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rgb="FFD9EAF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theme="3" tint="0.79998168889431442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theme="3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 patternType="solid">
          <fgColor indexed="64"/>
          <bgColor theme="3" tint="0.7999816888943144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fill>
        <patternFill patternType="solid">
          <fgColor indexed="64"/>
          <bgColor theme="4" tint="0.79998168889431442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0" formatCode="General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alignment horizontal="center" vertical="center"/>
      <border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alignment horizontal="center" vertical="center"/>
    </dxf>
    <dxf>
      <border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fill>
        <patternFill patternType="solid">
          <fgColor rgb="FF000000"/>
          <bgColor rgb="FFD9EAF7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4" tint="-0.249977111117893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/>
    </dxf>
    <dxf>
      <border outline="0"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/>
    </dxf>
    <dxf>
      <alignment horizontal="center" vertical="center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dd\-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rgb="FFD9EAF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G21" totalsRowShown="0" headerRowDxfId="140" dataDxfId="138" headerRowBorderDxfId="139" tableBorderDxfId="137" totalsRowBorderDxfId="136">
  <autoFilter ref="A1:G21" xr:uid="{00000000-0009-0000-0100-000001000000}"/>
  <tableColumns count="7">
    <tableColumn id="1" xr3:uid="{00000000-0010-0000-0000-000001000000}" name="Name" dataDxfId="135"/>
    <tableColumn id="2" xr3:uid="{00000000-0010-0000-0000-000002000000}" name="Price" dataDxfId="134"/>
    <tableColumn id="3" xr3:uid="{00000000-0010-0000-0000-000003000000}" name="Tax Rate" dataDxfId="133"/>
    <tableColumn id="4" xr3:uid="{00000000-0010-0000-0000-000004000000}" name="Quantity" dataDxfId="132"/>
    <tableColumn id="5" xr3:uid="{00000000-0010-0000-0000-000005000000}" name="Tax Amount" dataDxfId="131">
      <calculatedColumnFormula>B2*$C$2</calculatedColumnFormula>
    </tableColumn>
    <tableColumn id="6" xr3:uid="{00000000-0010-0000-0000-000006000000}" name="final price" dataDxfId="130">
      <calculatedColumnFormula>B2+E2</calculatedColumnFormula>
    </tableColumn>
    <tableColumn id="7" xr3:uid="{00000000-0010-0000-0000-000007000000}" name="Total Amount" dataDxfId="129">
      <calculatedColumnFormula>B2*D2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6" displayName="Table6" ref="D24:D44" totalsRowShown="0" headerRowDxfId="128" dataDxfId="126" headerRowBorderDxfId="127" tableBorderDxfId="125" totalsRowBorderDxfId="124">
  <autoFilter ref="D24:D44" xr:uid="{00000000-0009-0000-0100-000002000000}"/>
  <tableColumns count="1">
    <tableColumn id="1" xr3:uid="{00000000-0010-0000-0100-000001000000}" name="Discount" dataDxfId="123">
      <calculatedColumnFormula>IF(C25&gt;=5000,C25*20%,IF(C25&gt;=3000,C25*10%,0))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7" displayName="Table7" ref="C1:D21" totalsRowShown="0" headerRowDxfId="122" dataDxfId="120" headerRowBorderDxfId="121" tableBorderDxfId="119" totalsRowBorderDxfId="118">
  <autoFilter ref="C1:D21" xr:uid="{00000000-0009-0000-0100-000003000000}"/>
  <tableColumns count="2">
    <tableColumn id="1" xr3:uid="{00000000-0010-0000-0200-000001000000}" name="Math" dataDxfId="117"/>
    <tableColumn id="2" xr3:uid="{00000000-0010-0000-0200-000002000000}" name="Grade" dataDxfId="116">
      <calculatedColumnFormula>IF(C2&gt;=80,"A",IF(C2&gt;=60,"B",IF(C2&gt;=40,"C","Fail")))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B1:B21" totalsRowShown="0" headerRowDxfId="115" dataDxfId="113" headerRowBorderDxfId="114" tableBorderDxfId="112" totalsRowBorderDxfId="111">
  <autoFilter ref="B1:B21" xr:uid="{00000000-0009-0000-0100-000004000000}"/>
  <tableColumns count="1">
    <tableColumn id="1" xr3:uid="{00000000-0010-0000-0300-000001000000}" name="Name" dataDxfId="110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D26431-3644-4609-87E9-A7285FCE2400}" name="Table16" displayName="Table16" ref="A1:A21" totalsRowShown="0" headerRowDxfId="109" dataDxfId="107" headerRowBorderDxfId="108" tableBorderDxfId="106" totalsRowBorderDxfId="105">
  <autoFilter ref="A1:A21" xr:uid="{25D26431-3644-4609-87E9-A7285FCE2400}"/>
  <tableColumns count="1">
    <tableColumn id="1" xr3:uid="{2C1B4C06-5AA1-4284-A0DD-776DEE1596D7}" name="ID" dataDxfId="104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9" displayName="Table9" ref="A1:E21" totalsRowShown="0" headerRowDxfId="103" dataDxfId="101" headerRowBorderDxfId="102" tableBorderDxfId="100" totalsRowBorderDxfId="99">
  <autoFilter ref="A1:E21" xr:uid="{00000000-0009-0000-0100-000005000000}"/>
  <tableColumns count="5">
    <tableColumn id="1" xr3:uid="{00000000-0010-0000-0400-000001000000}" name="ID" dataDxfId="98"/>
    <tableColumn id="2" xr3:uid="{00000000-0010-0000-0400-000002000000}" name="Name" dataDxfId="97"/>
    <tableColumn id="3" xr3:uid="{00000000-0010-0000-0400-000003000000}" name="Price" dataDxfId="96"/>
    <tableColumn id="4" xr3:uid="{00000000-0010-0000-0400-000004000000}" name="Quantity" dataDxfId="95"/>
    <tableColumn id="5" xr3:uid="{00000000-0010-0000-0400-000005000000}" name="OR Result" dataDxfId="94">
      <calculatedColumnFormula>IF(OR(C2&gt;=5000,D2&gt;=10),"Eligible","Not Eligible")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0" displayName="Table10" ref="A26:E46" totalsRowShown="0" headerRowDxfId="93" dataDxfId="91" headerRowBorderDxfId="92" tableBorderDxfId="90" totalsRowBorderDxfId="89">
  <autoFilter ref="A26:E46" xr:uid="{00000000-0009-0000-0100-000006000000}"/>
  <tableColumns count="5">
    <tableColumn id="1" xr3:uid="{00000000-0010-0000-0500-000001000000}" name="ID" dataDxfId="88"/>
    <tableColumn id="2" xr3:uid="{00000000-0010-0000-0500-000002000000}" name="Name" dataDxfId="87"/>
    <tableColumn id="3" xr3:uid="{00000000-0010-0000-0500-000003000000}" name="Math" dataDxfId="86"/>
    <tableColumn id="4" xr3:uid="{00000000-0010-0000-0500-000004000000}" name="Science" dataDxfId="85"/>
    <tableColumn id="5" xr3:uid="{00000000-0010-0000-0500-000005000000}" name="AND RESULT" dataDxfId="84">
      <calculatedColumnFormula>IF(AND(C27&gt;80,D27&gt;80),"Yes","No")</calculatedColumnFormula>
    </tableColumn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1" displayName="Table11" ref="A1:E21" totalsRowShown="0" headerRowDxfId="83" dataDxfId="81" headerRowBorderDxfId="82" tableBorderDxfId="80" totalsRowBorderDxfId="79">
  <autoFilter ref="A1:E21" xr:uid="{00000000-0009-0000-0100-000007000000}"/>
  <tableColumns count="5">
    <tableColumn id="1" xr3:uid="{00000000-0010-0000-0600-000001000000}" name="ID" dataDxfId="78"/>
    <tableColumn id="2" xr3:uid="{00000000-0010-0000-0600-000002000000}" name="Name" dataDxfId="77"/>
    <tableColumn id="3" xr3:uid="{00000000-0010-0000-0600-000003000000}" name="Region" dataDxfId="76"/>
    <tableColumn id="4" xr3:uid="{00000000-0010-0000-0600-000004000000}" name="Product" dataDxfId="75"/>
    <tableColumn id="5" xr3:uid="{00000000-0010-0000-0600-000005000000}" name="Sales" dataDxfId="74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12" displayName="Table12" ref="A25:C45" totalsRowShown="0" headerRowDxfId="73" dataDxfId="71" headerRowBorderDxfId="72" tableBorderDxfId="70" totalsRowBorderDxfId="69">
  <autoFilter ref="A25:C45" xr:uid="{00000000-0009-0000-0100-000008000000}"/>
  <tableColumns count="3">
    <tableColumn id="1" xr3:uid="{00000000-0010-0000-0700-000001000000}" name="ID" dataDxfId="68"/>
    <tableColumn id="2" xr3:uid="{00000000-0010-0000-0700-000002000000}" name="Name" dataDxfId="67"/>
    <tableColumn id="3" xr3:uid="{00000000-0010-0000-0700-000003000000}" name="Math" dataDxfId="66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4" displayName="Table14" ref="A1:B21" totalsRowShown="0" headerRowDxfId="65" headerRowBorderDxfId="64" tableBorderDxfId="63" totalsRowBorderDxfId="62">
  <autoFilter ref="A1:B21" xr:uid="{00000000-0009-0000-0100-000009000000}"/>
  <tableColumns count="2">
    <tableColumn id="1" xr3:uid="{00000000-0010-0000-0800-000001000000}" name="Student ID" dataDxfId="61"/>
    <tableColumn id="2" xr3:uid="{00000000-0010-0000-0800-000002000000}" name="Student Name" dataDxfId="60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13" displayName="Table13" ref="A1:C21" totalsRowShown="0" headerRowDxfId="59" dataDxfId="57" headerRowBorderDxfId="58" tableBorderDxfId="56" totalsRowBorderDxfId="55">
  <autoFilter ref="A1:C21" xr:uid="{00000000-0009-0000-0100-00000A000000}"/>
  <tableColumns count="3">
    <tableColumn id="1" xr3:uid="{00000000-0010-0000-0900-000001000000}" name="Product Code" dataDxfId="54"/>
    <tableColumn id="2" xr3:uid="{00000000-0010-0000-0900-000002000000}" name="Product" dataDxfId="53"/>
    <tableColumn id="3" xr3:uid="{00000000-0010-0000-0900-000003000000}" name="Price" dataDxfId="5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A9824D0-2CA0-4482-80C3-FDF0DFF76891}" name="Table15" displayName="Table15" ref="A1:D61" totalsRowShown="0" headerRowDxfId="51" headerRowBorderDxfId="50" tableBorderDxfId="49" totalsRowBorderDxfId="48">
  <autoFilter ref="A1:D61" xr:uid="{BA9824D0-2CA0-4482-80C3-FDF0DFF76891}"/>
  <tableColumns count="4">
    <tableColumn id="1" xr3:uid="{1C1333C3-DD1C-43A2-AFA5-41EDB1F4132A}" name="Salesperson" dataDxfId="47"/>
    <tableColumn id="2" xr3:uid="{B0C54F85-0AB8-4B3B-95C2-980436DA63EA}" name="Month" dataDxfId="46"/>
    <tableColumn id="3" xr3:uid="{31F6C0C6-8F5A-439E-AB26-88B0B4B0E669}" name="Sales" dataDxfId="45"/>
    <tableColumn id="4" xr3:uid="{58EBBF1E-651A-41F6-8E84-53FA9109D570}" name="Key" dataDxfId="44">
      <calculatedColumnFormula>A2&amp;"|"&amp;B2</calculatedColumnFormula>
    </tableColumn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F8744EE-FD7A-4664-8D43-8257E9EF621D}" name="Table23" displayName="Table23" ref="A1:E11" totalsRowShown="0" headerRowDxfId="150" dataDxfId="148" headerRowBorderDxfId="149" tableBorderDxfId="147" totalsRowBorderDxfId="146">
  <autoFilter ref="A1:E11" xr:uid="{CF8744EE-FD7A-4664-8D43-8257E9EF621D}"/>
  <tableColumns count="5">
    <tableColumn id="1" xr3:uid="{8E239FD8-FD09-4724-9CBF-5732B4F1DBD3}" name="Employee ID" dataDxfId="145"/>
    <tableColumn id="2" xr3:uid="{4C1A3445-4114-4015-8DE2-332B3C53106B}" name="Employee Name" dataDxfId="144"/>
    <tableColumn id="3" xr3:uid="{D0A07AA6-1270-427F-837C-DACA35CD76D3}" name="Department" dataDxfId="143"/>
    <tableColumn id="4" xr3:uid="{1DD9E426-9B3B-4E02-A701-95DE867963DE}" name="Salary" dataDxfId="142"/>
    <tableColumn id="5" xr3:uid="{06352973-80C1-4439-AB11-2E5B15419F3A}" name="Joining Date" dataDxfId="141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39C3645-5911-45E8-8C9E-A090BC34E869}" name="Table22" displayName="Table22" ref="A1:G11" totalsRowShown="0" headerRowDxfId="43" dataDxfId="41" headerRowBorderDxfId="42" tableBorderDxfId="40" totalsRowBorderDxfId="39">
  <autoFilter ref="A1:G11" xr:uid="{D39C3645-5911-45E8-8C9E-A090BC34E869}"/>
  <tableColumns count="7">
    <tableColumn id="1" xr3:uid="{D42BBA39-A93E-4C35-8084-6EFF16A4A22B}" name="Employee ID" dataDxfId="38"/>
    <tableColumn id="2" xr3:uid="{0A988F42-61E2-4A61-9021-B02D927575BE}" name="Employee Name" dataDxfId="37"/>
    <tableColumn id="3" xr3:uid="{938E4ED3-D360-4A5A-A509-9D99E820C17D}" name="Salary" dataDxfId="36"/>
    <tableColumn id="4" xr3:uid="{1EC6CB9A-DC1F-4BCA-A2EC-B6D9C91183A7}" name="Department" dataDxfId="35"/>
    <tableColumn id="5" xr3:uid="{765B0E2E-C12B-4C92-BC57-F63FA2F47C53}" name="Salesperson" dataDxfId="34"/>
    <tableColumn id="6" xr3:uid="{3C69464C-EE84-43FF-9981-50858F6CCEDB}" name="Month" dataDxfId="33"/>
    <tableColumn id="7" xr3:uid="{D2A6BA68-101D-41F1-8E74-CB736BB7EA2E}" name="Sales" dataDxfId="32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F9E5A2C-8321-4A62-950A-213B0E05C51E}" name="Table21" displayName="Table21" ref="A1:B21" totalsRowShown="0" headerRowBorderDxfId="31" tableBorderDxfId="30" totalsRowBorderDxfId="29">
  <autoFilter ref="A1:B21" xr:uid="{7F9E5A2C-8321-4A62-950A-213B0E05C51E}"/>
  <tableColumns count="2">
    <tableColumn id="1" xr3:uid="{380BBC86-7B60-4660-84A7-ED65C8C6A815}" name="Product" dataDxfId="28"/>
    <tableColumn id="2" xr3:uid="{9A024BAE-E025-45A9-BA45-83613FBABF4B}" name="Sales" dataDxfId="27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31C1709-EDAA-4935-B7E5-32A4D0374C8A}" name="Table20" displayName="Table20" ref="A1:B11" totalsRowShown="0" headerRowDxfId="26" headerRowBorderDxfId="25" tableBorderDxfId="24" totalsRowBorderDxfId="23">
  <autoFilter ref="A1:B11" xr:uid="{D31C1709-EDAA-4935-B7E5-32A4D0374C8A}"/>
  <tableColumns count="2">
    <tableColumn id="1" xr3:uid="{9B2A8C73-D87E-4E94-9C73-963C1100C2CA}" name="Month" dataDxfId="22"/>
    <tableColumn id="2" xr3:uid="{D9C7B5AB-9A7B-4859-8729-B05062902460}" name="Sales" dataDxfId="21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C26EF70-0CFC-42FF-BF02-55158EB21C57}" name="Table19" displayName="Table19" ref="A1:D11" totalsRowShown="0" headerRowDxfId="20" headerRowBorderDxfId="19" tableBorderDxfId="18" totalsRowBorderDxfId="17">
  <autoFilter ref="A1:D11" xr:uid="{1C26EF70-0CFC-42FF-BF02-55158EB21C57}"/>
  <tableColumns count="4">
    <tableColumn id="1" xr3:uid="{66C0154E-93E6-42DB-8A23-452FDAE984B2}" name="Name" dataDxfId="16"/>
    <tableColumn id="2" xr3:uid="{FEA0A0BE-54F1-41D7-AC58-79F574112570}" name="Date of Birth" dataDxfId="15"/>
    <tableColumn id="3" xr3:uid="{1AB23608-E061-4A0D-87BA-F38CA406F63C}" name="Start Date" dataDxfId="14"/>
    <tableColumn id="4" xr3:uid="{CCD3F91C-FF17-41C2-9F79-78FD89EAB915}" name="End Date" dataDxfId="13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A912A4E-3785-4A4D-813A-B21F42264BAB}" name="Table18" displayName="Table18" ref="A1:B11" totalsRowShown="0" headerRowDxfId="12" headerRowBorderDxfId="11" tableBorderDxfId="10" totalsRowBorderDxfId="9">
  <autoFilter ref="A1:B11" xr:uid="{6A912A4E-3785-4A4D-813A-B21F42264BAB}"/>
  <tableColumns count="2">
    <tableColumn id="1" xr3:uid="{718A55D2-7173-43F3-86B2-E05129C5537C}" name="Item" dataDxfId="8"/>
    <tableColumn id="2" xr3:uid="{BC2D93B6-5146-4136-920E-7691BE6A502E}" name="Amount" dataDxfId="7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21C0435-4FE4-4180-A169-0B3519C198AF}" name="Table17" displayName="Table17" ref="A1:C21" totalsRowShown="0" headerRowDxfId="6" headerRowBorderDxfId="5" tableBorderDxfId="4" totalsRowBorderDxfId="3">
  <autoFilter ref="A1:C21" xr:uid="{121C0435-4FE4-4180-A169-0B3519C198AF}"/>
  <tableColumns count="3">
    <tableColumn id="1" xr3:uid="{3CAFB137-0560-41ED-8CAC-6A8DF19B1090}" name="Student ID" dataDxfId="2"/>
    <tableColumn id="2" xr3:uid="{40219C52-D0A4-4C67-8DCD-C50BA06F284C}" name="Name" dataDxfId="1"/>
    <tableColumn id="3" xr3:uid="{FA73B91B-C2F0-44D9-B6C0-8C04093B9C4C}" name="Scor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3" width="18" style="2" customWidth="1"/>
    <col min="4" max="4" width="18.109375" style="2" customWidth="1"/>
    <col min="5" max="5" width="16.33203125" style="2" customWidth="1"/>
    <col min="6" max="6" width="16" style="2" customWidth="1"/>
    <col min="7" max="7" width="16.88671875" style="2" customWidth="1"/>
    <col min="8" max="8" width="8.88671875" style="2" customWidth="1"/>
    <col min="9" max="16384" width="8.88671875" style="2"/>
  </cols>
  <sheetData>
    <row r="1" spans="1:7" x14ac:dyDescent="0.3">
      <c r="A1" s="53" t="s">
        <v>7</v>
      </c>
      <c r="B1" s="54" t="s">
        <v>8</v>
      </c>
      <c r="C1" s="54" t="s">
        <v>9</v>
      </c>
      <c r="D1" s="54" t="s">
        <v>10</v>
      </c>
      <c r="E1" s="55" t="s">
        <v>11</v>
      </c>
      <c r="F1" s="55" t="s">
        <v>12</v>
      </c>
      <c r="G1" s="56" t="s">
        <v>13</v>
      </c>
    </row>
    <row r="2" spans="1:7" x14ac:dyDescent="0.3">
      <c r="A2" s="7" t="s">
        <v>145</v>
      </c>
      <c r="B2" s="4">
        <v>7000</v>
      </c>
      <c r="C2" s="4">
        <v>0.18</v>
      </c>
      <c r="D2" s="4">
        <v>12</v>
      </c>
      <c r="E2" s="4">
        <f t="shared" ref="E2:E21" si="0">B2*$C$2</f>
        <v>1260</v>
      </c>
      <c r="F2" s="4">
        <f t="shared" ref="F2:F21" si="1">B2+E2</f>
        <v>8260</v>
      </c>
      <c r="G2" s="8">
        <f t="shared" ref="G2:G21" si="2">B2*D2</f>
        <v>84000</v>
      </c>
    </row>
    <row r="3" spans="1:7" x14ac:dyDescent="0.3">
      <c r="A3" s="7" t="s">
        <v>15</v>
      </c>
      <c r="B3" s="4">
        <v>2000</v>
      </c>
      <c r="C3" s="4">
        <v>0.18</v>
      </c>
      <c r="D3" s="4">
        <v>5</v>
      </c>
      <c r="E3" s="4">
        <f t="shared" si="0"/>
        <v>360</v>
      </c>
      <c r="F3" s="4">
        <f t="shared" si="1"/>
        <v>2360</v>
      </c>
      <c r="G3" s="8">
        <f t="shared" si="2"/>
        <v>10000</v>
      </c>
    </row>
    <row r="4" spans="1:7" x14ac:dyDescent="0.3">
      <c r="A4" s="7" t="s">
        <v>16</v>
      </c>
      <c r="B4" s="4">
        <v>2500</v>
      </c>
      <c r="C4" s="4">
        <v>0.18</v>
      </c>
      <c r="D4" s="4">
        <v>10</v>
      </c>
      <c r="E4" s="4">
        <f t="shared" si="0"/>
        <v>450</v>
      </c>
      <c r="F4" s="4">
        <f t="shared" si="1"/>
        <v>2950</v>
      </c>
      <c r="G4" s="8">
        <f t="shared" si="2"/>
        <v>25000</v>
      </c>
    </row>
    <row r="5" spans="1:7" x14ac:dyDescent="0.3">
      <c r="A5" s="7" t="s">
        <v>17</v>
      </c>
      <c r="B5" s="4">
        <v>9000</v>
      </c>
      <c r="C5" s="4">
        <v>0.18</v>
      </c>
      <c r="D5" s="4">
        <v>3</v>
      </c>
      <c r="E5" s="4">
        <f t="shared" si="0"/>
        <v>1620</v>
      </c>
      <c r="F5" s="4">
        <f t="shared" si="1"/>
        <v>10620</v>
      </c>
      <c r="G5" s="8">
        <f t="shared" si="2"/>
        <v>27000</v>
      </c>
    </row>
    <row r="6" spans="1:7" x14ac:dyDescent="0.3">
      <c r="A6" s="7" t="s">
        <v>14</v>
      </c>
      <c r="B6" s="4">
        <v>8000</v>
      </c>
      <c r="C6" s="4">
        <v>0.18</v>
      </c>
      <c r="D6" s="4">
        <v>15</v>
      </c>
      <c r="E6" s="4">
        <f t="shared" si="0"/>
        <v>1440</v>
      </c>
      <c r="F6" s="4">
        <f t="shared" si="1"/>
        <v>9440</v>
      </c>
      <c r="G6" s="8">
        <f t="shared" si="2"/>
        <v>120000</v>
      </c>
    </row>
    <row r="7" spans="1:7" x14ac:dyDescent="0.3">
      <c r="A7" s="7" t="s">
        <v>19</v>
      </c>
      <c r="B7" s="4">
        <v>3200</v>
      </c>
      <c r="C7" s="4">
        <v>0.18</v>
      </c>
      <c r="D7" s="4">
        <v>8</v>
      </c>
      <c r="E7" s="4">
        <f t="shared" si="0"/>
        <v>576</v>
      </c>
      <c r="F7" s="4">
        <f t="shared" si="1"/>
        <v>3776</v>
      </c>
      <c r="G7" s="8">
        <f t="shared" si="2"/>
        <v>25600</v>
      </c>
    </row>
    <row r="8" spans="1:7" x14ac:dyDescent="0.3">
      <c r="A8" s="7" t="s">
        <v>20</v>
      </c>
      <c r="B8" s="4">
        <v>5200</v>
      </c>
      <c r="C8" s="4">
        <v>0.18</v>
      </c>
      <c r="D8" s="4">
        <v>4</v>
      </c>
      <c r="E8" s="4">
        <f t="shared" si="0"/>
        <v>936</v>
      </c>
      <c r="F8" s="4">
        <f t="shared" si="1"/>
        <v>6136</v>
      </c>
      <c r="G8" s="8">
        <f t="shared" si="2"/>
        <v>20800</v>
      </c>
    </row>
    <row r="9" spans="1:7" x14ac:dyDescent="0.3">
      <c r="A9" s="7" t="s">
        <v>21</v>
      </c>
      <c r="B9" s="4">
        <v>2800</v>
      </c>
      <c r="C9" s="4">
        <v>0.18</v>
      </c>
      <c r="D9" s="4">
        <v>11</v>
      </c>
      <c r="E9" s="4">
        <f t="shared" si="0"/>
        <v>504</v>
      </c>
      <c r="F9" s="4">
        <f t="shared" si="1"/>
        <v>3304</v>
      </c>
      <c r="G9" s="8">
        <f t="shared" si="2"/>
        <v>30800</v>
      </c>
    </row>
    <row r="10" spans="1:7" x14ac:dyDescent="0.3">
      <c r="A10" s="7" t="s">
        <v>22</v>
      </c>
      <c r="B10" s="4">
        <v>4500</v>
      </c>
      <c r="C10" s="4">
        <v>0.18</v>
      </c>
      <c r="D10" s="4">
        <v>6</v>
      </c>
      <c r="E10" s="4">
        <f t="shared" si="0"/>
        <v>810</v>
      </c>
      <c r="F10" s="4">
        <f t="shared" si="1"/>
        <v>5310</v>
      </c>
      <c r="G10" s="8">
        <f t="shared" si="2"/>
        <v>27000</v>
      </c>
    </row>
    <row r="11" spans="1:7" x14ac:dyDescent="0.3">
      <c r="A11" s="7" t="s">
        <v>23</v>
      </c>
      <c r="B11" s="4">
        <v>7000</v>
      </c>
      <c r="C11" s="4">
        <v>0.18</v>
      </c>
      <c r="D11" s="4">
        <v>2</v>
      </c>
      <c r="E11" s="4">
        <f t="shared" si="0"/>
        <v>1260</v>
      </c>
      <c r="F11" s="4">
        <f t="shared" si="1"/>
        <v>8260</v>
      </c>
      <c r="G11" s="8">
        <f t="shared" si="2"/>
        <v>14000</v>
      </c>
    </row>
    <row r="12" spans="1:7" x14ac:dyDescent="0.3">
      <c r="A12" s="7" t="s">
        <v>24</v>
      </c>
      <c r="B12" s="4">
        <v>5500</v>
      </c>
      <c r="C12" s="4">
        <v>0.18</v>
      </c>
      <c r="D12" s="4">
        <v>14</v>
      </c>
      <c r="E12" s="4">
        <f t="shared" si="0"/>
        <v>990</v>
      </c>
      <c r="F12" s="4">
        <f t="shared" si="1"/>
        <v>6490</v>
      </c>
      <c r="G12" s="8">
        <f t="shared" si="2"/>
        <v>77000</v>
      </c>
    </row>
    <row r="13" spans="1:7" x14ac:dyDescent="0.3">
      <c r="A13" s="7" t="s">
        <v>25</v>
      </c>
      <c r="B13" s="4">
        <v>2900</v>
      </c>
      <c r="C13" s="4">
        <v>0.18</v>
      </c>
      <c r="D13" s="4">
        <v>9</v>
      </c>
      <c r="E13" s="4">
        <f t="shared" si="0"/>
        <v>522</v>
      </c>
      <c r="F13" s="4">
        <f t="shared" si="1"/>
        <v>3422</v>
      </c>
      <c r="G13" s="8">
        <f t="shared" si="2"/>
        <v>26100</v>
      </c>
    </row>
    <row r="14" spans="1:7" x14ac:dyDescent="0.3">
      <c r="A14" s="7" t="s">
        <v>26</v>
      </c>
      <c r="B14" s="4">
        <v>4200</v>
      </c>
      <c r="C14" s="4">
        <v>0.18</v>
      </c>
      <c r="D14" s="4">
        <v>7</v>
      </c>
      <c r="E14" s="4">
        <f t="shared" si="0"/>
        <v>756</v>
      </c>
      <c r="F14" s="4">
        <f t="shared" si="1"/>
        <v>4956</v>
      </c>
      <c r="G14" s="8">
        <f t="shared" si="2"/>
        <v>29400</v>
      </c>
    </row>
    <row r="15" spans="1:7" x14ac:dyDescent="0.3">
      <c r="A15" s="7" t="s">
        <v>27</v>
      </c>
      <c r="B15" s="4">
        <v>9000</v>
      </c>
      <c r="C15" s="4">
        <v>0.18</v>
      </c>
      <c r="D15" s="4">
        <v>20</v>
      </c>
      <c r="E15" s="4">
        <f t="shared" si="0"/>
        <v>1620</v>
      </c>
      <c r="F15" s="4">
        <f t="shared" si="1"/>
        <v>10620</v>
      </c>
      <c r="G15" s="8">
        <f t="shared" si="2"/>
        <v>180000</v>
      </c>
    </row>
    <row r="16" spans="1:7" x14ac:dyDescent="0.3">
      <c r="A16" s="7" t="s">
        <v>28</v>
      </c>
      <c r="B16" s="4">
        <v>1800</v>
      </c>
      <c r="C16" s="4">
        <v>0.18</v>
      </c>
      <c r="D16" s="4">
        <v>5</v>
      </c>
      <c r="E16" s="4">
        <f t="shared" si="0"/>
        <v>324</v>
      </c>
      <c r="F16" s="4">
        <f t="shared" si="1"/>
        <v>2124</v>
      </c>
      <c r="G16" s="8">
        <f t="shared" si="2"/>
        <v>9000</v>
      </c>
    </row>
    <row r="17" spans="1:7" x14ac:dyDescent="0.3">
      <c r="A17" s="7" t="s">
        <v>29</v>
      </c>
      <c r="B17" s="4">
        <v>6500</v>
      </c>
      <c r="C17" s="4">
        <v>0.18</v>
      </c>
      <c r="D17" s="4">
        <v>13</v>
      </c>
      <c r="E17" s="4">
        <f t="shared" si="0"/>
        <v>1170</v>
      </c>
      <c r="F17" s="4">
        <f t="shared" si="1"/>
        <v>7670</v>
      </c>
      <c r="G17" s="8">
        <f t="shared" si="2"/>
        <v>84500</v>
      </c>
    </row>
    <row r="18" spans="1:7" x14ac:dyDescent="0.3">
      <c r="A18" s="7" t="s">
        <v>30</v>
      </c>
      <c r="B18" s="4">
        <v>3500</v>
      </c>
      <c r="C18" s="4">
        <v>0.18</v>
      </c>
      <c r="D18" s="4">
        <v>6</v>
      </c>
      <c r="E18" s="4">
        <f t="shared" si="0"/>
        <v>630</v>
      </c>
      <c r="F18" s="4">
        <f t="shared" si="1"/>
        <v>4130</v>
      </c>
      <c r="G18" s="8">
        <f t="shared" si="2"/>
        <v>21000</v>
      </c>
    </row>
    <row r="19" spans="1:7" x14ac:dyDescent="0.3">
      <c r="A19" s="7" t="s">
        <v>31</v>
      </c>
      <c r="B19" s="4">
        <v>4800</v>
      </c>
      <c r="C19" s="4">
        <v>0.18</v>
      </c>
      <c r="D19" s="4">
        <v>10</v>
      </c>
      <c r="E19" s="4">
        <f t="shared" si="0"/>
        <v>864</v>
      </c>
      <c r="F19" s="4">
        <f t="shared" si="1"/>
        <v>5664</v>
      </c>
      <c r="G19" s="8">
        <f t="shared" si="2"/>
        <v>48000</v>
      </c>
    </row>
    <row r="20" spans="1:7" x14ac:dyDescent="0.3">
      <c r="A20" s="7" t="s">
        <v>32</v>
      </c>
      <c r="B20" s="4">
        <v>2300</v>
      </c>
      <c r="C20" s="4">
        <v>0.18</v>
      </c>
      <c r="D20" s="4">
        <v>3</v>
      </c>
      <c r="E20" s="4">
        <f t="shared" si="0"/>
        <v>414</v>
      </c>
      <c r="F20" s="4">
        <f t="shared" si="1"/>
        <v>2714</v>
      </c>
      <c r="G20" s="8">
        <f t="shared" si="2"/>
        <v>6900</v>
      </c>
    </row>
    <row r="21" spans="1:7" x14ac:dyDescent="0.3">
      <c r="A21" s="9" t="s">
        <v>33</v>
      </c>
      <c r="B21" s="5">
        <v>7500</v>
      </c>
      <c r="C21" s="5">
        <v>0.18</v>
      </c>
      <c r="D21" s="5">
        <v>16</v>
      </c>
      <c r="E21" s="5">
        <f t="shared" si="0"/>
        <v>1350</v>
      </c>
      <c r="F21" s="5">
        <f t="shared" si="1"/>
        <v>8850</v>
      </c>
      <c r="G21" s="10">
        <f t="shared" si="2"/>
        <v>120000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pane ySplit="1" topLeftCell="A11" activePane="bottomLeft" state="frozen"/>
      <selection pane="bottomLeft" activeCell="C25" sqref="C25"/>
    </sheetView>
  </sheetViews>
  <sheetFormatPr defaultRowHeight="14.4" x14ac:dyDescent="0.3"/>
  <cols>
    <col min="1" max="4" width="18" customWidth="1"/>
    <col min="5" max="5" width="16.88671875" customWidth="1"/>
    <col min="6" max="6" width="18.6640625" customWidth="1"/>
  </cols>
  <sheetData>
    <row r="1" spans="1:4" x14ac:dyDescent="0.3">
      <c r="A1" s="22" t="s">
        <v>34</v>
      </c>
      <c r="B1" s="22" t="s">
        <v>7</v>
      </c>
      <c r="C1" s="18" t="s">
        <v>35</v>
      </c>
      <c r="D1" s="24" t="s">
        <v>36</v>
      </c>
    </row>
    <row r="2" spans="1:4" x14ac:dyDescent="0.3">
      <c r="A2" s="14">
        <v>101</v>
      </c>
      <c r="B2" s="14" t="s">
        <v>146</v>
      </c>
      <c r="C2" s="19">
        <v>75</v>
      </c>
      <c r="D2" s="25" t="str">
        <f t="shared" ref="D2:D21" si="0">IF(C2&gt;=80,"A",IF(C2&gt;=60,"B",IF(C2&gt;=40,"C","Fail")))</f>
        <v>B</v>
      </c>
    </row>
    <row r="3" spans="1:4" x14ac:dyDescent="0.3">
      <c r="A3" s="21">
        <v>102</v>
      </c>
      <c r="B3" s="21" t="s">
        <v>15</v>
      </c>
      <c r="C3" s="19">
        <v>72</v>
      </c>
      <c r="D3" s="25" t="str">
        <f t="shared" si="0"/>
        <v>B</v>
      </c>
    </row>
    <row r="4" spans="1:4" x14ac:dyDescent="0.3">
      <c r="A4" s="14">
        <v>103</v>
      </c>
      <c r="B4" s="14" t="s">
        <v>16</v>
      </c>
      <c r="C4" s="19">
        <v>55</v>
      </c>
      <c r="D4" s="25" t="str">
        <f t="shared" si="0"/>
        <v>C</v>
      </c>
    </row>
    <row r="5" spans="1:4" x14ac:dyDescent="0.3">
      <c r="A5" s="21">
        <v>104</v>
      </c>
      <c r="B5" s="21" t="s">
        <v>17</v>
      </c>
      <c r="C5" s="19">
        <v>68</v>
      </c>
      <c r="D5" s="25" t="str">
        <f t="shared" si="0"/>
        <v>B</v>
      </c>
    </row>
    <row r="6" spans="1:4" x14ac:dyDescent="0.3">
      <c r="A6" s="14">
        <v>105</v>
      </c>
      <c r="B6" s="14" t="s">
        <v>18</v>
      </c>
      <c r="C6" s="19">
        <v>91</v>
      </c>
      <c r="D6" s="25" t="str">
        <f t="shared" si="0"/>
        <v>A</v>
      </c>
    </row>
    <row r="7" spans="1:4" x14ac:dyDescent="0.3">
      <c r="A7" s="21">
        <v>106</v>
      </c>
      <c r="B7" s="21" t="s">
        <v>14</v>
      </c>
      <c r="C7" s="19">
        <v>64</v>
      </c>
      <c r="D7" s="25" t="str">
        <f t="shared" si="0"/>
        <v>B</v>
      </c>
    </row>
    <row r="8" spans="1:4" x14ac:dyDescent="0.3">
      <c r="A8" s="14">
        <v>107</v>
      </c>
      <c r="B8" s="14" t="s">
        <v>20</v>
      </c>
      <c r="C8" s="19">
        <v>48</v>
      </c>
      <c r="D8" s="25" t="str">
        <f t="shared" si="0"/>
        <v>C</v>
      </c>
    </row>
    <row r="9" spans="1:4" x14ac:dyDescent="0.3">
      <c r="A9" s="21">
        <v>108</v>
      </c>
      <c r="B9" s="21" t="s">
        <v>21</v>
      </c>
      <c r="C9" s="19">
        <v>79</v>
      </c>
      <c r="D9" s="25" t="str">
        <f t="shared" si="0"/>
        <v>B</v>
      </c>
    </row>
    <row r="10" spans="1:4" x14ac:dyDescent="0.3">
      <c r="A10" s="14">
        <v>109</v>
      </c>
      <c r="B10" s="14" t="s">
        <v>22</v>
      </c>
      <c r="C10" s="19">
        <v>88</v>
      </c>
      <c r="D10" s="25" t="str">
        <f t="shared" si="0"/>
        <v>A</v>
      </c>
    </row>
    <row r="11" spans="1:4" x14ac:dyDescent="0.3">
      <c r="A11" s="21">
        <v>110</v>
      </c>
      <c r="B11" s="21" t="s">
        <v>23</v>
      </c>
      <c r="C11" s="19">
        <v>39</v>
      </c>
      <c r="D11" s="25" t="str">
        <f t="shared" si="0"/>
        <v>Fail</v>
      </c>
    </row>
    <row r="12" spans="1:4" x14ac:dyDescent="0.3">
      <c r="A12" s="14">
        <v>111</v>
      </c>
      <c r="B12" s="14" t="s">
        <v>24</v>
      </c>
      <c r="C12" s="19">
        <v>83</v>
      </c>
      <c r="D12" s="25" t="str">
        <f t="shared" si="0"/>
        <v>A</v>
      </c>
    </row>
    <row r="13" spans="1:4" x14ac:dyDescent="0.3">
      <c r="A13" s="21">
        <v>112</v>
      </c>
      <c r="B13" s="21" t="s">
        <v>25</v>
      </c>
      <c r="C13" s="19">
        <v>61</v>
      </c>
      <c r="D13" s="25" t="str">
        <f t="shared" si="0"/>
        <v>B</v>
      </c>
    </row>
    <row r="14" spans="1:4" x14ac:dyDescent="0.3">
      <c r="A14" s="14">
        <v>113</v>
      </c>
      <c r="B14" s="14" t="s">
        <v>26</v>
      </c>
      <c r="C14" s="19">
        <v>76</v>
      </c>
      <c r="D14" s="25" t="str">
        <f t="shared" si="0"/>
        <v>B</v>
      </c>
    </row>
    <row r="15" spans="1:4" x14ac:dyDescent="0.3">
      <c r="A15" s="21">
        <v>114</v>
      </c>
      <c r="B15" s="21" t="s">
        <v>27</v>
      </c>
      <c r="C15" s="19">
        <v>94</v>
      </c>
      <c r="D15" s="25" t="str">
        <f t="shared" si="0"/>
        <v>A</v>
      </c>
    </row>
    <row r="16" spans="1:4" x14ac:dyDescent="0.3">
      <c r="A16" s="14">
        <v>115</v>
      </c>
      <c r="B16" s="14" t="s">
        <v>28</v>
      </c>
      <c r="C16" s="19">
        <v>52</v>
      </c>
      <c r="D16" s="25" t="str">
        <f t="shared" si="0"/>
        <v>C</v>
      </c>
    </row>
    <row r="17" spans="1:4" x14ac:dyDescent="0.3">
      <c r="A17" s="21">
        <v>116</v>
      </c>
      <c r="B17" s="21" t="s">
        <v>29</v>
      </c>
      <c r="C17" s="19">
        <v>87</v>
      </c>
      <c r="D17" s="25" t="str">
        <f t="shared" si="0"/>
        <v>A</v>
      </c>
    </row>
    <row r="18" spans="1:4" x14ac:dyDescent="0.3">
      <c r="A18" s="14">
        <v>117</v>
      </c>
      <c r="B18" s="14" t="s">
        <v>30</v>
      </c>
      <c r="C18" s="19">
        <v>67</v>
      </c>
      <c r="D18" s="25" t="str">
        <f t="shared" si="0"/>
        <v>B</v>
      </c>
    </row>
    <row r="19" spans="1:4" x14ac:dyDescent="0.3">
      <c r="A19" s="21">
        <v>118</v>
      </c>
      <c r="B19" s="21" t="s">
        <v>31</v>
      </c>
      <c r="C19" s="19">
        <v>81</v>
      </c>
      <c r="D19" s="25" t="str">
        <f t="shared" si="0"/>
        <v>A</v>
      </c>
    </row>
    <row r="20" spans="1:4" x14ac:dyDescent="0.3">
      <c r="A20" s="14">
        <v>119</v>
      </c>
      <c r="B20" s="14" t="s">
        <v>32</v>
      </c>
      <c r="C20" s="19">
        <v>44</v>
      </c>
      <c r="D20" s="25" t="str">
        <f t="shared" si="0"/>
        <v>C</v>
      </c>
    </row>
    <row r="21" spans="1:4" x14ac:dyDescent="0.3">
      <c r="A21" s="23">
        <v>120</v>
      </c>
      <c r="B21" s="23" t="s">
        <v>33</v>
      </c>
      <c r="C21" s="20">
        <v>90</v>
      </c>
      <c r="D21" s="25" t="str">
        <f t="shared" si="0"/>
        <v>A</v>
      </c>
    </row>
    <row r="22" spans="1:4" x14ac:dyDescent="0.3">
      <c r="A22" s="17"/>
      <c r="B22" s="17"/>
      <c r="C22" s="16"/>
      <c r="D22" s="17"/>
    </row>
    <row r="24" spans="1:4" x14ac:dyDescent="0.3">
      <c r="A24" s="11" t="s">
        <v>34</v>
      </c>
      <c r="B24" s="11" t="s">
        <v>7</v>
      </c>
      <c r="C24" s="11" t="s">
        <v>8</v>
      </c>
      <c r="D24" s="15" t="s">
        <v>37</v>
      </c>
    </row>
    <row r="25" spans="1:4" x14ac:dyDescent="0.3">
      <c r="A25" s="12">
        <v>101</v>
      </c>
      <c r="B25" s="12" t="s">
        <v>146</v>
      </c>
      <c r="C25" s="12">
        <v>6000</v>
      </c>
      <c r="D25" s="14">
        <f t="shared" ref="D25:D44" si="1">IF(C25&gt;=5000,C25*20%,IF(C25&gt;=3000,C25*10%,0))</f>
        <v>1200</v>
      </c>
    </row>
    <row r="26" spans="1:4" x14ac:dyDescent="0.3">
      <c r="A26" s="13">
        <v>102</v>
      </c>
      <c r="B26" s="13" t="s">
        <v>15</v>
      </c>
      <c r="C26" s="13">
        <v>4000</v>
      </c>
      <c r="D26" s="42">
        <f t="shared" si="1"/>
        <v>400</v>
      </c>
    </row>
    <row r="27" spans="1:4" x14ac:dyDescent="0.3">
      <c r="A27" s="12">
        <v>103</v>
      </c>
      <c r="B27" s="12" t="s">
        <v>16</v>
      </c>
      <c r="C27" s="12">
        <v>2500</v>
      </c>
      <c r="D27" s="14">
        <f t="shared" si="1"/>
        <v>0</v>
      </c>
    </row>
    <row r="28" spans="1:4" x14ac:dyDescent="0.3">
      <c r="A28" s="13">
        <v>104</v>
      </c>
      <c r="B28" s="13" t="s">
        <v>17</v>
      </c>
      <c r="C28" s="13">
        <v>1500</v>
      </c>
      <c r="D28" s="42">
        <f t="shared" si="1"/>
        <v>0</v>
      </c>
    </row>
    <row r="29" spans="1:4" x14ac:dyDescent="0.3">
      <c r="A29" s="12">
        <v>105</v>
      </c>
      <c r="B29" s="12" t="s">
        <v>18</v>
      </c>
      <c r="C29" s="12">
        <v>8000</v>
      </c>
      <c r="D29" s="14">
        <f t="shared" si="1"/>
        <v>1600</v>
      </c>
    </row>
    <row r="30" spans="1:4" x14ac:dyDescent="0.3">
      <c r="A30" s="13">
        <v>106</v>
      </c>
      <c r="B30" s="13" t="s">
        <v>14</v>
      </c>
      <c r="C30" s="13">
        <v>3200</v>
      </c>
      <c r="D30" s="42">
        <f t="shared" si="1"/>
        <v>320</v>
      </c>
    </row>
    <row r="31" spans="1:4" x14ac:dyDescent="0.3">
      <c r="A31" s="12">
        <v>107</v>
      </c>
      <c r="B31" s="12" t="s">
        <v>20</v>
      </c>
      <c r="C31" s="12">
        <v>5200</v>
      </c>
      <c r="D31" s="14">
        <f t="shared" si="1"/>
        <v>1040</v>
      </c>
    </row>
    <row r="32" spans="1:4" x14ac:dyDescent="0.3">
      <c r="A32" s="13">
        <v>108</v>
      </c>
      <c r="B32" s="13" t="s">
        <v>21</v>
      </c>
      <c r="C32" s="13">
        <v>2800</v>
      </c>
      <c r="D32" s="42">
        <f t="shared" si="1"/>
        <v>0</v>
      </c>
    </row>
    <row r="33" spans="1:4" x14ac:dyDescent="0.3">
      <c r="A33" s="12">
        <v>109</v>
      </c>
      <c r="B33" s="12" t="s">
        <v>22</v>
      </c>
      <c r="C33" s="12">
        <v>4500</v>
      </c>
      <c r="D33" s="14">
        <f t="shared" si="1"/>
        <v>450</v>
      </c>
    </row>
    <row r="34" spans="1:4" x14ac:dyDescent="0.3">
      <c r="A34" s="13">
        <v>110</v>
      </c>
      <c r="B34" s="13" t="s">
        <v>23</v>
      </c>
      <c r="C34" s="13">
        <v>7000</v>
      </c>
      <c r="D34" s="42">
        <f t="shared" si="1"/>
        <v>1400</v>
      </c>
    </row>
    <row r="35" spans="1:4" x14ac:dyDescent="0.3">
      <c r="A35" s="12">
        <v>111</v>
      </c>
      <c r="B35" s="12" t="s">
        <v>24</v>
      </c>
      <c r="C35" s="12">
        <v>5500</v>
      </c>
      <c r="D35" s="14">
        <f t="shared" si="1"/>
        <v>1100</v>
      </c>
    </row>
    <row r="36" spans="1:4" x14ac:dyDescent="0.3">
      <c r="A36" s="13">
        <v>112</v>
      </c>
      <c r="B36" s="13" t="s">
        <v>25</v>
      </c>
      <c r="C36" s="13">
        <v>2900</v>
      </c>
      <c r="D36" s="42">
        <f t="shared" si="1"/>
        <v>0</v>
      </c>
    </row>
    <row r="37" spans="1:4" x14ac:dyDescent="0.3">
      <c r="A37" s="12">
        <v>113</v>
      </c>
      <c r="B37" s="12" t="s">
        <v>26</v>
      </c>
      <c r="C37" s="12">
        <v>4200</v>
      </c>
      <c r="D37" s="14">
        <f t="shared" si="1"/>
        <v>420</v>
      </c>
    </row>
    <row r="38" spans="1:4" x14ac:dyDescent="0.3">
      <c r="A38" s="13">
        <v>114</v>
      </c>
      <c r="B38" s="13" t="s">
        <v>27</v>
      </c>
      <c r="C38" s="13">
        <v>9000</v>
      </c>
      <c r="D38" s="42">
        <f t="shared" si="1"/>
        <v>1800</v>
      </c>
    </row>
    <row r="39" spans="1:4" x14ac:dyDescent="0.3">
      <c r="A39" s="12">
        <v>115</v>
      </c>
      <c r="B39" s="12" t="s">
        <v>28</v>
      </c>
      <c r="C39" s="12">
        <v>1800</v>
      </c>
      <c r="D39" s="14">
        <f t="shared" si="1"/>
        <v>0</v>
      </c>
    </row>
    <row r="40" spans="1:4" x14ac:dyDescent="0.3">
      <c r="A40" s="13">
        <v>116</v>
      </c>
      <c r="B40" s="13" t="s">
        <v>29</v>
      </c>
      <c r="C40" s="13">
        <v>6500</v>
      </c>
      <c r="D40" s="42">
        <f t="shared" si="1"/>
        <v>1300</v>
      </c>
    </row>
    <row r="41" spans="1:4" x14ac:dyDescent="0.3">
      <c r="A41" s="12">
        <v>117</v>
      </c>
      <c r="B41" s="12" t="s">
        <v>30</v>
      </c>
      <c r="C41" s="12">
        <v>3500</v>
      </c>
      <c r="D41" s="14">
        <f t="shared" si="1"/>
        <v>350</v>
      </c>
    </row>
    <row r="42" spans="1:4" x14ac:dyDescent="0.3">
      <c r="A42" s="13">
        <v>118</v>
      </c>
      <c r="B42" s="13" t="s">
        <v>31</v>
      </c>
      <c r="C42" s="13">
        <v>4800</v>
      </c>
      <c r="D42" s="42">
        <f t="shared" si="1"/>
        <v>480</v>
      </c>
    </row>
    <row r="43" spans="1:4" x14ac:dyDescent="0.3">
      <c r="A43" s="12">
        <v>119</v>
      </c>
      <c r="B43" s="12" t="s">
        <v>32</v>
      </c>
      <c r="C43" s="12">
        <v>2300</v>
      </c>
      <c r="D43" s="14">
        <f t="shared" si="1"/>
        <v>0</v>
      </c>
    </row>
    <row r="44" spans="1:4" x14ac:dyDescent="0.3">
      <c r="A44" s="13">
        <v>120</v>
      </c>
      <c r="B44" s="13" t="s">
        <v>33</v>
      </c>
      <c r="C44" s="13">
        <v>7500</v>
      </c>
      <c r="D44" s="42">
        <f t="shared" si="1"/>
        <v>1500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>
      <pane ySplit="1" topLeftCell="A2" activePane="bottomLeft" state="frozen"/>
      <selection pane="bottomLeft" activeCell="B32" sqref="B32"/>
    </sheetView>
  </sheetViews>
  <sheetFormatPr defaultRowHeight="14.4" x14ac:dyDescent="0.3"/>
  <cols>
    <col min="1" max="6" width="18" customWidth="1"/>
  </cols>
  <sheetData>
    <row r="1" spans="1:6" x14ac:dyDescent="0.3">
      <c r="A1" s="27" t="s">
        <v>34</v>
      </c>
      <c r="B1" s="28" t="s">
        <v>7</v>
      </c>
      <c r="C1" s="28" t="s">
        <v>8</v>
      </c>
      <c r="D1" s="28" t="s">
        <v>10</v>
      </c>
      <c r="E1" s="29" t="s">
        <v>38</v>
      </c>
      <c r="F1" s="26"/>
    </row>
    <row r="2" spans="1:6" x14ac:dyDescent="0.3">
      <c r="A2" s="7">
        <v>101</v>
      </c>
      <c r="B2" s="4" t="s">
        <v>146</v>
      </c>
      <c r="C2" s="4">
        <v>2000</v>
      </c>
      <c r="D2" s="4">
        <v>12</v>
      </c>
      <c r="E2" s="8" t="str">
        <f t="shared" ref="E2:E21" si="0">IF(OR(C2&gt;=5000,D2&gt;=10),"Eligible","Not Eligible")</f>
        <v>Eligible</v>
      </c>
    </row>
    <row r="3" spans="1:6" x14ac:dyDescent="0.3">
      <c r="A3" s="7">
        <v>102</v>
      </c>
      <c r="B3" s="4" t="s">
        <v>15</v>
      </c>
      <c r="C3" s="4">
        <v>4000</v>
      </c>
      <c r="D3" s="4">
        <v>5</v>
      </c>
      <c r="E3" s="8" t="str">
        <f t="shared" si="0"/>
        <v>Not Eligible</v>
      </c>
    </row>
    <row r="4" spans="1:6" x14ac:dyDescent="0.3">
      <c r="A4" s="7">
        <v>103</v>
      </c>
      <c r="B4" s="4" t="s">
        <v>16</v>
      </c>
      <c r="C4" s="4">
        <v>2500</v>
      </c>
      <c r="D4" s="4">
        <v>10</v>
      </c>
      <c r="E4" s="8" t="str">
        <f t="shared" si="0"/>
        <v>Eligible</v>
      </c>
    </row>
    <row r="5" spans="1:6" x14ac:dyDescent="0.3">
      <c r="A5" s="7">
        <v>104</v>
      </c>
      <c r="B5" s="4" t="s">
        <v>17</v>
      </c>
      <c r="C5" s="4">
        <v>1500</v>
      </c>
      <c r="D5" s="4">
        <v>3</v>
      </c>
      <c r="E5" s="8" t="str">
        <f t="shared" si="0"/>
        <v>Not Eligible</v>
      </c>
    </row>
    <row r="6" spans="1:6" x14ac:dyDescent="0.3">
      <c r="A6" s="7">
        <v>105</v>
      </c>
      <c r="B6" s="4" t="s">
        <v>18</v>
      </c>
      <c r="C6" s="4">
        <v>8000</v>
      </c>
      <c r="D6" s="4">
        <v>15</v>
      </c>
      <c r="E6" s="8" t="str">
        <f t="shared" si="0"/>
        <v>Eligible</v>
      </c>
    </row>
    <row r="7" spans="1:6" x14ac:dyDescent="0.3">
      <c r="A7" s="7">
        <v>106</v>
      </c>
      <c r="B7" s="4" t="s">
        <v>14</v>
      </c>
      <c r="C7" s="4">
        <v>3200</v>
      </c>
      <c r="D7" s="4">
        <v>8</v>
      </c>
      <c r="E7" s="8" t="str">
        <f t="shared" si="0"/>
        <v>Not Eligible</v>
      </c>
    </row>
    <row r="8" spans="1:6" x14ac:dyDescent="0.3">
      <c r="A8" s="7">
        <v>107</v>
      </c>
      <c r="B8" s="4" t="s">
        <v>20</v>
      </c>
      <c r="C8" s="4">
        <v>5200</v>
      </c>
      <c r="D8" s="4">
        <v>4</v>
      </c>
      <c r="E8" s="8" t="str">
        <f t="shared" si="0"/>
        <v>Eligible</v>
      </c>
    </row>
    <row r="9" spans="1:6" x14ac:dyDescent="0.3">
      <c r="A9" s="7">
        <v>108</v>
      </c>
      <c r="B9" s="4" t="s">
        <v>21</v>
      </c>
      <c r="C9" s="4">
        <v>2800</v>
      </c>
      <c r="D9" s="4">
        <v>11</v>
      </c>
      <c r="E9" s="8" t="str">
        <f t="shared" si="0"/>
        <v>Eligible</v>
      </c>
    </row>
    <row r="10" spans="1:6" x14ac:dyDescent="0.3">
      <c r="A10" s="7">
        <v>109</v>
      </c>
      <c r="B10" s="4" t="s">
        <v>22</v>
      </c>
      <c r="C10" s="4">
        <v>4500</v>
      </c>
      <c r="D10" s="4">
        <v>6</v>
      </c>
      <c r="E10" s="8" t="str">
        <f t="shared" si="0"/>
        <v>Not Eligible</v>
      </c>
    </row>
    <row r="11" spans="1:6" x14ac:dyDescent="0.3">
      <c r="A11" s="7">
        <v>110</v>
      </c>
      <c r="B11" s="4" t="s">
        <v>23</v>
      </c>
      <c r="C11" s="4">
        <v>7000</v>
      </c>
      <c r="D11" s="4">
        <v>2</v>
      </c>
      <c r="E11" s="8" t="str">
        <f t="shared" si="0"/>
        <v>Eligible</v>
      </c>
    </row>
    <row r="12" spans="1:6" x14ac:dyDescent="0.3">
      <c r="A12" s="7">
        <v>111</v>
      </c>
      <c r="B12" s="4" t="s">
        <v>24</v>
      </c>
      <c r="C12" s="4">
        <v>5500</v>
      </c>
      <c r="D12" s="4">
        <v>14</v>
      </c>
      <c r="E12" s="8" t="str">
        <f t="shared" si="0"/>
        <v>Eligible</v>
      </c>
    </row>
    <row r="13" spans="1:6" x14ac:dyDescent="0.3">
      <c r="A13" s="7">
        <v>112</v>
      </c>
      <c r="B13" s="4" t="s">
        <v>25</v>
      </c>
      <c r="C13" s="4">
        <v>2900</v>
      </c>
      <c r="D13" s="4">
        <v>9</v>
      </c>
      <c r="E13" s="8" t="str">
        <f t="shared" si="0"/>
        <v>Not Eligible</v>
      </c>
    </row>
    <row r="14" spans="1:6" x14ac:dyDescent="0.3">
      <c r="A14" s="7">
        <v>113</v>
      </c>
      <c r="B14" s="4" t="s">
        <v>26</v>
      </c>
      <c r="C14" s="4">
        <v>4200</v>
      </c>
      <c r="D14" s="4">
        <v>7</v>
      </c>
      <c r="E14" s="8" t="str">
        <f t="shared" si="0"/>
        <v>Not Eligible</v>
      </c>
    </row>
    <row r="15" spans="1:6" x14ac:dyDescent="0.3">
      <c r="A15" s="7">
        <v>114</v>
      </c>
      <c r="B15" s="4" t="s">
        <v>27</v>
      </c>
      <c r="C15" s="4">
        <v>9000</v>
      </c>
      <c r="D15" s="4">
        <v>20</v>
      </c>
      <c r="E15" s="8" t="str">
        <f t="shared" si="0"/>
        <v>Eligible</v>
      </c>
    </row>
    <row r="16" spans="1:6" x14ac:dyDescent="0.3">
      <c r="A16" s="7">
        <v>115</v>
      </c>
      <c r="B16" s="4" t="s">
        <v>28</v>
      </c>
      <c r="C16" s="4">
        <v>1800</v>
      </c>
      <c r="D16" s="4">
        <v>5</v>
      </c>
      <c r="E16" s="8" t="str">
        <f t="shared" si="0"/>
        <v>Not Eligible</v>
      </c>
    </row>
    <row r="17" spans="1:5" x14ac:dyDescent="0.3">
      <c r="A17" s="7">
        <v>116</v>
      </c>
      <c r="B17" s="4" t="s">
        <v>29</v>
      </c>
      <c r="C17" s="4">
        <v>6500</v>
      </c>
      <c r="D17" s="4">
        <v>13</v>
      </c>
      <c r="E17" s="8" t="str">
        <f t="shared" si="0"/>
        <v>Eligible</v>
      </c>
    </row>
    <row r="18" spans="1:5" x14ac:dyDescent="0.3">
      <c r="A18" s="7">
        <v>117</v>
      </c>
      <c r="B18" s="4" t="s">
        <v>30</v>
      </c>
      <c r="C18" s="4">
        <v>3500</v>
      </c>
      <c r="D18" s="4">
        <v>6</v>
      </c>
      <c r="E18" s="8" t="str">
        <f t="shared" si="0"/>
        <v>Not Eligible</v>
      </c>
    </row>
    <row r="19" spans="1:5" x14ac:dyDescent="0.3">
      <c r="A19" s="7">
        <v>118</v>
      </c>
      <c r="B19" s="4" t="s">
        <v>31</v>
      </c>
      <c r="C19" s="4">
        <v>4800</v>
      </c>
      <c r="D19" s="4">
        <v>10</v>
      </c>
      <c r="E19" s="8" t="str">
        <f t="shared" si="0"/>
        <v>Eligible</v>
      </c>
    </row>
    <row r="20" spans="1:5" x14ac:dyDescent="0.3">
      <c r="A20" s="7">
        <v>119</v>
      </c>
      <c r="B20" s="4" t="s">
        <v>32</v>
      </c>
      <c r="C20" s="4">
        <v>2300</v>
      </c>
      <c r="D20" s="4">
        <v>3</v>
      </c>
      <c r="E20" s="8" t="str">
        <f t="shared" si="0"/>
        <v>Not Eligible</v>
      </c>
    </row>
    <row r="21" spans="1:5" x14ac:dyDescent="0.3">
      <c r="A21" s="9">
        <v>120</v>
      </c>
      <c r="B21" s="5" t="s">
        <v>33</v>
      </c>
      <c r="C21" s="5">
        <v>7500</v>
      </c>
      <c r="D21" s="5">
        <v>16</v>
      </c>
      <c r="E21" s="10" t="str">
        <f t="shared" si="0"/>
        <v>Eligible</v>
      </c>
    </row>
    <row r="26" spans="1:5" x14ac:dyDescent="0.3">
      <c r="A26" s="27" t="s">
        <v>34</v>
      </c>
      <c r="B26" s="28" t="s">
        <v>7</v>
      </c>
      <c r="C26" s="28" t="s">
        <v>35</v>
      </c>
      <c r="D26" s="28" t="s">
        <v>39</v>
      </c>
      <c r="E26" s="29" t="s">
        <v>40</v>
      </c>
    </row>
    <row r="27" spans="1:5" x14ac:dyDescent="0.3">
      <c r="A27" s="7">
        <v>101</v>
      </c>
      <c r="B27" s="4" t="s">
        <v>146</v>
      </c>
      <c r="C27" s="4">
        <v>85</v>
      </c>
      <c r="D27" s="4">
        <v>88</v>
      </c>
      <c r="E27" s="8" t="str">
        <f t="shared" ref="E27:E46" si="1">IF(AND(C27&gt;80,D27&gt;80),"Yes","No")</f>
        <v>Yes</v>
      </c>
    </row>
    <row r="28" spans="1:5" x14ac:dyDescent="0.3">
      <c r="A28" s="7">
        <v>102</v>
      </c>
      <c r="B28" s="4" t="s">
        <v>15</v>
      </c>
      <c r="C28" s="4">
        <v>72</v>
      </c>
      <c r="D28" s="4">
        <v>75</v>
      </c>
      <c r="E28" s="8" t="str">
        <f t="shared" si="1"/>
        <v>No</v>
      </c>
    </row>
    <row r="29" spans="1:5" x14ac:dyDescent="0.3">
      <c r="A29" s="7">
        <v>103</v>
      </c>
      <c r="B29" s="4" t="s">
        <v>16</v>
      </c>
      <c r="C29" s="4">
        <v>55</v>
      </c>
      <c r="D29" s="4">
        <v>65</v>
      </c>
      <c r="E29" s="8" t="str">
        <f t="shared" si="1"/>
        <v>No</v>
      </c>
    </row>
    <row r="30" spans="1:5" x14ac:dyDescent="0.3">
      <c r="A30" s="7">
        <v>104</v>
      </c>
      <c r="B30" s="4" t="s">
        <v>17</v>
      </c>
      <c r="C30" s="4">
        <v>68</v>
      </c>
      <c r="D30" s="4">
        <v>85</v>
      </c>
      <c r="E30" s="8" t="str">
        <f t="shared" si="1"/>
        <v>No</v>
      </c>
    </row>
    <row r="31" spans="1:5" x14ac:dyDescent="0.3">
      <c r="A31" s="7">
        <v>105</v>
      </c>
      <c r="B31" s="4" t="s">
        <v>18</v>
      </c>
      <c r="C31" s="4">
        <v>91</v>
      </c>
      <c r="D31" s="4">
        <v>86</v>
      </c>
      <c r="E31" s="8" t="str">
        <f t="shared" si="1"/>
        <v>Yes</v>
      </c>
    </row>
    <row r="32" spans="1:5" x14ac:dyDescent="0.3">
      <c r="A32" s="7">
        <v>106</v>
      </c>
      <c r="B32" s="4" t="s">
        <v>14</v>
      </c>
      <c r="C32" s="4">
        <v>64</v>
      </c>
      <c r="D32" s="4">
        <v>82</v>
      </c>
      <c r="E32" s="8" t="str">
        <f t="shared" si="1"/>
        <v>No</v>
      </c>
    </row>
    <row r="33" spans="1:5" x14ac:dyDescent="0.3">
      <c r="A33" s="7">
        <v>107</v>
      </c>
      <c r="B33" s="4" t="s">
        <v>20</v>
      </c>
      <c r="C33" s="4">
        <v>48</v>
      </c>
      <c r="D33" s="4">
        <v>55</v>
      </c>
      <c r="E33" s="8" t="str">
        <f t="shared" si="1"/>
        <v>No</v>
      </c>
    </row>
    <row r="34" spans="1:5" x14ac:dyDescent="0.3">
      <c r="A34" s="7">
        <v>108</v>
      </c>
      <c r="B34" s="4" t="s">
        <v>21</v>
      </c>
      <c r="C34" s="4">
        <v>79</v>
      </c>
      <c r="D34" s="4">
        <v>81</v>
      </c>
      <c r="E34" s="8" t="str">
        <f t="shared" si="1"/>
        <v>No</v>
      </c>
    </row>
    <row r="35" spans="1:5" x14ac:dyDescent="0.3">
      <c r="A35" s="7">
        <v>109</v>
      </c>
      <c r="B35" s="4" t="s">
        <v>22</v>
      </c>
      <c r="C35" s="4">
        <v>88</v>
      </c>
      <c r="D35" s="4">
        <v>90</v>
      </c>
      <c r="E35" s="8" t="str">
        <f t="shared" si="1"/>
        <v>Yes</v>
      </c>
    </row>
    <row r="36" spans="1:5" x14ac:dyDescent="0.3">
      <c r="A36" s="7">
        <v>110</v>
      </c>
      <c r="B36" s="4" t="s">
        <v>23</v>
      </c>
      <c r="C36" s="4">
        <v>39</v>
      </c>
      <c r="D36" s="4">
        <v>35</v>
      </c>
      <c r="E36" s="8" t="str">
        <f t="shared" si="1"/>
        <v>No</v>
      </c>
    </row>
    <row r="37" spans="1:5" x14ac:dyDescent="0.3">
      <c r="A37" s="7">
        <v>111</v>
      </c>
      <c r="B37" s="4" t="s">
        <v>24</v>
      </c>
      <c r="C37" s="4">
        <v>83</v>
      </c>
      <c r="D37" s="4">
        <v>87</v>
      </c>
      <c r="E37" s="8" t="str">
        <f t="shared" si="1"/>
        <v>Yes</v>
      </c>
    </row>
    <row r="38" spans="1:5" x14ac:dyDescent="0.3">
      <c r="A38" s="7">
        <v>112</v>
      </c>
      <c r="B38" s="4" t="s">
        <v>25</v>
      </c>
      <c r="C38" s="4">
        <v>61</v>
      </c>
      <c r="D38" s="4">
        <v>70</v>
      </c>
      <c r="E38" s="8" t="str">
        <f t="shared" si="1"/>
        <v>No</v>
      </c>
    </row>
    <row r="39" spans="1:5" x14ac:dyDescent="0.3">
      <c r="A39" s="7">
        <v>113</v>
      </c>
      <c r="B39" s="4" t="s">
        <v>26</v>
      </c>
      <c r="C39" s="4">
        <v>76</v>
      </c>
      <c r="D39" s="4">
        <v>79</v>
      </c>
      <c r="E39" s="8" t="str">
        <f t="shared" si="1"/>
        <v>No</v>
      </c>
    </row>
    <row r="40" spans="1:5" x14ac:dyDescent="0.3">
      <c r="A40" s="7">
        <v>114</v>
      </c>
      <c r="B40" s="4" t="s">
        <v>27</v>
      </c>
      <c r="C40" s="4">
        <v>94</v>
      </c>
      <c r="D40" s="4">
        <v>92</v>
      </c>
      <c r="E40" s="8" t="str">
        <f t="shared" si="1"/>
        <v>Yes</v>
      </c>
    </row>
    <row r="41" spans="1:5" x14ac:dyDescent="0.3">
      <c r="A41" s="7">
        <v>115</v>
      </c>
      <c r="B41" s="4" t="s">
        <v>28</v>
      </c>
      <c r="C41" s="4">
        <v>52</v>
      </c>
      <c r="D41" s="4">
        <v>58</v>
      </c>
      <c r="E41" s="8" t="str">
        <f t="shared" si="1"/>
        <v>No</v>
      </c>
    </row>
    <row r="42" spans="1:5" x14ac:dyDescent="0.3">
      <c r="A42" s="7">
        <v>116</v>
      </c>
      <c r="B42" s="4" t="s">
        <v>29</v>
      </c>
      <c r="C42" s="4">
        <v>87</v>
      </c>
      <c r="D42" s="4">
        <v>84</v>
      </c>
      <c r="E42" s="8" t="str">
        <f t="shared" si="1"/>
        <v>Yes</v>
      </c>
    </row>
    <row r="43" spans="1:5" x14ac:dyDescent="0.3">
      <c r="A43" s="7">
        <v>117</v>
      </c>
      <c r="B43" s="4" t="s">
        <v>30</v>
      </c>
      <c r="C43" s="4">
        <v>67</v>
      </c>
      <c r="D43" s="4">
        <v>63</v>
      </c>
      <c r="E43" s="8" t="str">
        <f t="shared" si="1"/>
        <v>No</v>
      </c>
    </row>
    <row r="44" spans="1:5" x14ac:dyDescent="0.3">
      <c r="A44" s="7">
        <v>118</v>
      </c>
      <c r="B44" s="4" t="s">
        <v>31</v>
      </c>
      <c r="C44" s="4">
        <v>81</v>
      </c>
      <c r="D44" s="4">
        <v>89</v>
      </c>
      <c r="E44" s="8" t="str">
        <f t="shared" si="1"/>
        <v>Yes</v>
      </c>
    </row>
    <row r="45" spans="1:5" x14ac:dyDescent="0.3">
      <c r="A45" s="7">
        <v>119</v>
      </c>
      <c r="B45" s="4" t="s">
        <v>32</v>
      </c>
      <c r="C45" s="4">
        <v>44</v>
      </c>
      <c r="D45" s="4">
        <v>49</v>
      </c>
      <c r="E45" s="8" t="str">
        <f t="shared" si="1"/>
        <v>No</v>
      </c>
    </row>
    <row r="46" spans="1:5" x14ac:dyDescent="0.3">
      <c r="A46" s="9">
        <v>120</v>
      </c>
      <c r="B46" s="5" t="s">
        <v>33</v>
      </c>
      <c r="C46" s="5">
        <v>90</v>
      </c>
      <c r="D46" s="5">
        <v>93</v>
      </c>
      <c r="E46" s="10" t="str">
        <f t="shared" si="1"/>
        <v>Yes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5"/>
  <sheetViews>
    <sheetView workbookViewId="0">
      <pane ySplit="1" topLeftCell="A2" activePane="bottomLeft" state="frozen"/>
      <selection pane="bottomLeft" activeCell="B32" sqref="B32"/>
    </sheetView>
  </sheetViews>
  <sheetFormatPr defaultRowHeight="14.4" x14ac:dyDescent="0.3"/>
  <cols>
    <col min="1" max="6" width="18" customWidth="1"/>
  </cols>
  <sheetData>
    <row r="1" spans="1:6" x14ac:dyDescent="0.3">
      <c r="A1" s="33" t="s">
        <v>34</v>
      </c>
      <c r="B1" s="28" t="s">
        <v>7</v>
      </c>
      <c r="C1" s="28" t="s">
        <v>41</v>
      </c>
      <c r="D1" s="28" t="s">
        <v>0</v>
      </c>
      <c r="E1" s="34" t="s">
        <v>1</v>
      </c>
      <c r="F1" s="26"/>
    </row>
    <row r="2" spans="1:6" x14ac:dyDescent="0.3">
      <c r="A2" s="7">
        <v>101</v>
      </c>
      <c r="B2" s="4" t="s">
        <v>146</v>
      </c>
      <c r="C2" s="4" t="s">
        <v>42</v>
      </c>
      <c r="D2" s="4" t="s">
        <v>4</v>
      </c>
      <c r="E2" s="8">
        <v>90000</v>
      </c>
    </row>
    <row r="3" spans="1:6" x14ac:dyDescent="0.3">
      <c r="A3" s="7">
        <v>102</v>
      </c>
      <c r="B3" s="4" t="s">
        <v>15</v>
      </c>
      <c r="C3" s="4" t="s">
        <v>43</v>
      </c>
      <c r="D3" s="4" t="s">
        <v>6</v>
      </c>
      <c r="E3" s="8">
        <v>30000</v>
      </c>
    </row>
    <row r="4" spans="1:6" x14ac:dyDescent="0.3">
      <c r="A4" s="7">
        <v>103</v>
      </c>
      <c r="B4" s="4" t="s">
        <v>16</v>
      </c>
      <c r="C4" s="4" t="s">
        <v>42</v>
      </c>
      <c r="D4" s="4" t="s">
        <v>4</v>
      </c>
      <c r="E4" s="8">
        <v>45000</v>
      </c>
    </row>
    <row r="5" spans="1:6" x14ac:dyDescent="0.3">
      <c r="A5" s="7">
        <v>104</v>
      </c>
      <c r="B5" s="4" t="s">
        <v>17</v>
      </c>
      <c r="C5" s="4" t="s">
        <v>44</v>
      </c>
      <c r="D5" s="4" t="s">
        <v>3</v>
      </c>
      <c r="E5" s="8">
        <v>25000</v>
      </c>
    </row>
    <row r="6" spans="1:6" x14ac:dyDescent="0.3">
      <c r="A6" s="7">
        <v>105</v>
      </c>
      <c r="B6" s="4" t="s">
        <v>18</v>
      </c>
      <c r="C6" s="4" t="s">
        <v>42</v>
      </c>
      <c r="D6" s="4" t="s">
        <v>6</v>
      </c>
      <c r="E6" s="8">
        <v>60000</v>
      </c>
    </row>
    <row r="7" spans="1:6" x14ac:dyDescent="0.3">
      <c r="A7" s="7">
        <v>106</v>
      </c>
      <c r="B7" s="4" t="s">
        <v>14</v>
      </c>
      <c r="C7" s="4" t="s">
        <v>43</v>
      </c>
      <c r="D7" s="4" t="s">
        <v>4</v>
      </c>
      <c r="E7" s="8">
        <v>40000</v>
      </c>
    </row>
    <row r="8" spans="1:6" x14ac:dyDescent="0.3">
      <c r="A8" s="7">
        <v>107</v>
      </c>
      <c r="B8" s="4" t="s">
        <v>20</v>
      </c>
      <c r="C8" s="4" t="s">
        <v>45</v>
      </c>
      <c r="D8" s="4" t="s">
        <v>3</v>
      </c>
      <c r="E8" s="8">
        <v>20000</v>
      </c>
    </row>
    <row r="9" spans="1:6" x14ac:dyDescent="0.3">
      <c r="A9" s="7">
        <v>108</v>
      </c>
      <c r="B9" s="4" t="s">
        <v>21</v>
      </c>
      <c r="C9" s="4" t="s">
        <v>42</v>
      </c>
      <c r="D9" s="4" t="s">
        <v>4</v>
      </c>
      <c r="E9" s="8">
        <v>55000</v>
      </c>
    </row>
    <row r="10" spans="1:6" x14ac:dyDescent="0.3">
      <c r="A10" s="7">
        <v>109</v>
      </c>
      <c r="B10" s="4" t="s">
        <v>22</v>
      </c>
      <c r="C10" s="4" t="s">
        <v>44</v>
      </c>
      <c r="D10" s="4" t="s">
        <v>6</v>
      </c>
      <c r="E10" s="8">
        <v>35000</v>
      </c>
    </row>
    <row r="11" spans="1:6" x14ac:dyDescent="0.3">
      <c r="A11" s="7">
        <v>110</v>
      </c>
      <c r="B11" s="4" t="s">
        <v>23</v>
      </c>
      <c r="C11" s="4" t="s">
        <v>42</v>
      </c>
      <c r="D11" s="4" t="s">
        <v>3</v>
      </c>
      <c r="E11" s="8">
        <v>18000</v>
      </c>
    </row>
    <row r="12" spans="1:6" x14ac:dyDescent="0.3">
      <c r="A12" s="7">
        <v>111</v>
      </c>
      <c r="B12" s="4" t="s">
        <v>24</v>
      </c>
      <c r="C12" s="4" t="s">
        <v>43</v>
      </c>
      <c r="D12" s="4" t="s">
        <v>4</v>
      </c>
      <c r="E12" s="8">
        <v>48000</v>
      </c>
    </row>
    <row r="13" spans="1:6" x14ac:dyDescent="0.3">
      <c r="A13" s="7">
        <v>112</v>
      </c>
      <c r="B13" s="4" t="s">
        <v>25</v>
      </c>
      <c r="C13" s="4" t="s">
        <v>45</v>
      </c>
      <c r="D13" s="4" t="s">
        <v>6</v>
      </c>
      <c r="E13" s="8">
        <v>28000</v>
      </c>
    </row>
    <row r="14" spans="1:6" x14ac:dyDescent="0.3">
      <c r="A14" s="7">
        <v>113</v>
      </c>
      <c r="B14" s="4" t="s">
        <v>26</v>
      </c>
      <c r="C14" s="4" t="s">
        <v>44</v>
      </c>
      <c r="D14" s="4" t="s">
        <v>4</v>
      </c>
      <c r="E14" s="8">
        <v>52000</v>
      </c>
    </row>
    <row r="15" spans="1:6" x14ac:dyDescent="0.3">
      <c r="A15" s="7">
        <v>114</v>
      </c>
      <c r="B15" s="4" t="s">
        <v>27</v>
      </c>
      <c r="C15" s="4" t="s">
        <v>42</v>
      </c>
      <c r="D15" s="4" t="s">
        <v>4</v>
      </c>
      <c r="E15" s="8">
        <v>75000</v>
      </c>
    </row>
    <row r="16" spans="1:6" x14ac:dyDescent="0.3">
      <c r="A16" s="7">
        <v>115</v>
      </c>
      <c r="B16" s="4" t="s">
        <v>28</v>
      </c>
      <c r="C16" s="4" t="s">
        <v>43</v>
      </c>
      <c r="D16" s="4" t="s">
        <v>3</v>
      </c>
      <c r="E16" s="8">
        <v>22000</v>
      </c>
    </row>
    <row r="17" spans="1:5" x14ac:dyDescent="0.3">
      <c r="A17" s="7">
        <v>116</v>
      </c>
      <c r="B17" s="4" t="s">
        <v>29</v>
      </c>
      <c r="C17" s="4" t="s">
        <v>45</v>
      </c>
      <c r="D17" s="4" t="s">
        <v>6</v>
      </c>
      <c r="E17" s="8">
        <v>46000</v>
      </c>
    </row>
    <row r="18" spans="1:5" x14ac:dyDescent="0.3">
      <c r="A18" s="7">
        <v>117</v>
      </c>
      <c r="B18" s="4" t="s">
        <v>30</v>
      </c>
      <c r="C18" s="4" t="s">
        <v>44</v>
      </c>
      <c r="D18" s="4" t="s">
        <v>4</v>
      </c>
      <c r="E18" s="8">
        <v>39000</v>
      </c>
    </row>
    <row r="19" spans="1:5" x14ac:dyDescent="0.3">
      <c r="A19" s="7">
        <v>118</v>
      </c>
      <c r="B19" s="4" t="s">
        <v>31</v>
      </c>
      <c r="C19" s="4" t="s">
        <v>42</v>
      </c>
      <c r="D19" s="4" t="s">
        <v>6</v>
      </c>
      <c r="E19" s="8">
        <v>41000</v>
      </c>
    </row>
    <row r="20" spans="1:5" x14ac:dyDescent="0.3">
      <c r="A20" s="7">
        <v>119</v>
      </c>
      <c r="B20" s="4" t="s">
        <v>32</v>
      </c>
      <c r="C20" s="4" t="s">
        <v>43</v>
      </c>
      <c r="D20" s="4" t="s">
        <v>3</v>
      </c>
      <c r="E20" s="8">
        <v>17000</v>
      </c>
    </row>
    <row r="21" spans="1:5" x14ac:dyDescent="0.3">
      <c r="A21" s="9">
        <v>120</v>
      </c>
      <c r="B21" s="5" t="s">
        <v>33</v>
      </c>
      <c r="C21" s="5" t="s">
        <v>45</v>
      </c>
      <c r="D21" s="5" t="s">
        <v>4</v>
      </c>
      <c r="E21" s="10">
        <v>68000</v>
      </c>
    </row>
    <row r="25" spans="1:5" x14ac:dyDescent="0.3">
      <c r="A25" s="30" t="s">
        <v>34</v>
      </c>
      <c r="B25" s="35" t="s">
        <v>7</v>
      </c>
      <c r="C25" s="31" t="s">
        <v>35</v>
      </c>
    </row>
    <row r="26" spans="1:5" x14ac:dyDescent="0.3">
      <c r="A26" s="7">
        <v>101</v>
      </c>
      <c r="B26" s="4" t="s">
        <v>146</v>
      </c>
      <c r="C26" s="8">
        <v>85</v>
      </c>
    </row>
    <row r="27" spans="1:5" x14ac:dyDescent="0.3">
      <c r="A27" s="7">
        <v>102</v>
      </c>
      <c r="B27" s="4" t="s">
        <v>15</v>
      </c>
      <c r="C27" s="8">
        <v>72</v>
      </c>
    </row>
    <row r="28" spans="1:5" x14ac:dyDescent="0.3">
      <c r="A28" s="7">
        <v>103</v>
      </c>
      <c r="B28" s="4" t="s">
        <v>16</v>
      </c>
      <c r="C28" s="8">
        <v>55</v>
      </c>
    </row>
    <row r="29" spans="1:5" x14ac:dyDescent="0.3">
      <c r="A29" s="7">
        <v>104</v>
      </c>
      <c r="B29" s="4" t="s">
        <v>17</v>
      </c>
      <c r="C29" s="8">
        <v>68</v>
      </c>
    </row>
    <row r="30" spans="1:5" x14ac:dyDescent="0.3">
      <c r="A30" s="7">
        <v>105</v>
      </c>
      <c r="B30" s="4" t="s">
        <v>18</v>
      </c>
      <c r="C30" s="8">
        <v>91</v>
      </c>
    </row>
    <row r="31" spans="1:5" x14ac:dyDescent="0.3">
      <c r="A31" s="7">
        <v>106</v>
      </c>
      <c r="B31" s="4" t="s">
        <v>14</v>
      </c>
      <c r="C31" s="8">
        <v>64</v>
      </c>
    </row>
    <row r="32" spans="1:5" x14ac:dyDescent="0.3">
      <c r="A32" s="7">
        <v>107</v>
      </c>
      <c r="B32" s="4" t="s">
        <v>20</v>
      </c>
      <c r="C32" s="8">
        <v>48</v>
      </c>
    </row>
    <row r="33" spans="1:6" x14ac:dyDescent="0.3">
      <c r="A33" s="7">
        <v>108</v>
      </c>
      <c r="B33" s="4" t="s">
        <v>21</v>
      </c>
      <c r="C33" s="8">
        <v>79</v>
      </c>
    </row>
    <row r="34" spans="1:6" x14ac:dyDescent="0.3">
      <c r="A34" s="7">
        <v>109</v>
      </c>
      <c r="B34" s="4" t="s">
        <v>22</v>
      </c>
      <c r="C34" s="8">
        <v>88</v>
      </c>
      <c r="E34" s="3" t="s">
        <v>46</v>
      </c>
      <c r="F34" s="4">
        <f>COUNTIFS(C26:C45,"&gt;50")</f>
        <v>17</v>
      </c>
    </row>
    <row r="35" spans="1:6" x14ac:dyDescent="0.3">
      <c r="A35" s="7">
        <v>110</v>
      </c>
      <c r="B35" s="4" t="s">
        <v>23</v>
      </c>
      <c r="C35" s="8">
        <v>39</v>
      </c>
      <c r="E35" s="3" t="s">
        <v>47</v>
      </c>
      <c r="F35" s="4">
        <f>SUMIFS(E2:E21,C2:C21,"North",D2:D21,"Laptop")</f>
        <v>265000</v>
      </c>
    </row>
    <row r="36" spans="1:6" x14ac:dyDescent="0.3">
      <c r="A36" s="7">
        <v>111</v>
      </c>
      <c r="B36" s="4" t="s">
        <v>24</v>
      </c>
      <c r="C36" s="8">
        <v>83</v>
      </c>
      <c r="E36" s="32" t="s">
        <v>48</v>
      </c>
      <c r="F36" s="4">
        <f>AVERAGEIFS(C26:C45,C26:C45,"&gt;60")</f>
        <v>79.066666666666663</v>
      </c>
    </row>
    <row r="37" spans="1:6" x14ac:dyDescent="0.3">
      <c r="A37" s="7">
        <v>112</v>
      </c>
      <c r="B37" s="4" t="s">
        <v>25</v>
      </c>
      <c r="C37" s="8">
        <v>61</v>
      </c>
    </row>
    <row r="38" spans="1:6" x14ac:dyDescent="0.3">
      <c r="A38" s="7">
        <v>113</v>
      </c>
      <c r="B38" s="4" t="s">
        <v>26</v>
      </c>
      <c r="C38" s="8">
        <v>76</v>
      </c>
    </row>
    <row r="39" spans="1:6" x14ac:dyDescent="0.3">
      <c r="A39" s="7">
        <v>114</v>
      </c>
      <c r="B39" s="4" t="s">
        <v>27</v>
      </c>
      <c r="C39" s="8">
        <v>94</v>
      </c>
    </row>
    <row r="40" spans="1:6" x14ac:dyDescent="0.3">
      <c r="A40" s="7">
        <v>115</v>
      </c>
      <c r="B40" s="4" t="s">
        <v>28</v>
      </c>
      <c r="C40" s="8">
        <v>52</v>
      </c>
    </row>
    <row r="41" spans="1:6" x14ac:dyDescent="0.3">
      <c r="A41" s="7">
        <v>116</v>
      </c>
      <c r="B41" s="4" t="s">
        <v>29</v>
      </c>
      <c r="C41" s="8">
        <v>87</v>
      </c>
    </row>
    <row r="42" spans="1:6" x14ac:dyDescent="0.3">
      <c r="A42" s="7">
        <v>117</v>
      </c>
      <c r="B42" s="4" t="s">
        <v>30</v>
      </c>
      <c r="C42" s="8">
        <v>67</v>
      </c>
    </row>
    <row r="43" spans="1:6" x14ac:dyDescent="0.3">
      <c r="A43" s="7">
        <v>118</v>
      </c>
      <c r="B43" s="4" t="s">
        <v>31</v>
      </c>
      <c r="C43" s="8">
        <v>81</v>
      </c>
    </row>
    <row r="44" spans="1:6" x14ac:dyDescent="0.3">
      <c r="A44" s="7">
        <v>119</v>
      </c>
      <c r="B44" s="4" t="s">
        <v>32</v>
      </c>
      <c r="C44" s="8">
        <v>44</v>
      </c>
    </row>
    <row r="45" spans="1:6" x14ac:dyDescent="0.3">
      <c r="A45" s="9">
        <v>120</v>
      </c>
      <c r="B45" s="5" t="s">
        <v>33</v>
      </c>
      <c r="C45" s="10">
        <v>90</v>
      </c>
    </row>
  </sheetData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1"/>
  <sheetViews>
    <sheetView workbookViewId="0">
      <pane ySplit="1" topLeftCell="A2" activePane="bottomLeft" state="frozen"/>
      <selection pane="bottomLeft" activeCell="D15" sqref="D15"/>
    </sheetView>
  </sheetViews>
  <sheetFormatPr defaultRowHeight="14.4" x14ac:dyDescent="0.3"/>
  <cols>
    <col min="1" max="2" width="18" customWidth="1"/>
    <col min="3" max="3" width="13.6640625" customWidth="1"/>
    <col min="5" max="5" width="13.5546875" customWidth="1"/>
  </cols>
  <sheetData>
    <row r="1" spans="1:6" x14ac:dyDescent="0.3">
      <c r="A1" s="30" t="s">
        <v>49</v>
      </c>
      <c r="B1" s="31" t="s">
        <v>50</v>
      </c>
    </row>
    <row r="2" spans="1:6" x14ac:dyDescent="0.3">
      <c r="A2" s="7">
        <v>101</v>
      </c>
      <c r="B2" s="8" t="s">
        <v>146</v>
      </c>
    </row>
    <row r="3" spans="1:6" x14ac:dyDescent="0.3">
      <c r="A3" s="7">
        <v>102</v>
      </c>
      <c r="B3" s="8" t="s">
        <v>15</v>
      </c>
    </row>
    <row r="4" spans="1:6" x14ac:dyDescent="0.3">
      <c r="A4" s="7">
        <v>103</v>
      </c>
      <c r="B4" s="8" t="s">
        <v>16</v>
      </c>
    </row>
    <row r="5" spans="1:6" x14ac:dyDescent="0.3">
      <c r="A5" s="7">
        <v>104</v>
      </c>
      <c r="B5" s="8" t="s">
        <v>17</v>
      </c>
    </row>
    <row r="6" spans="1:6" x14ac:dyDescent="0.3">
      <c r="A6" s="7">
        <v>105</v>
      </c>
      <c r="B6" s="8" t="s">
        <v>18</v>
      </c>
    </row>
    <row r="7" spans="1:6" x14ac:dyDescent="0.3">
      <c r="A7" s="7">
        <v>106</v>
      </c>
      <c r="B7" s="8" t="s">
        <v>14</v>
      </c>
    </row>
    <row r="8" spans="1:6" x14ac:dyDescent="0.3">
      <c r="A8" s="7">
        <v>107</v>
      </c>
      <c r="B8" s="8" t="s">
        <v>20</v>
      </c>
    </row>
    <row r="9" spans="1:6" x14ac:dyDescent="0.3">
      <c r="A9" s="7">
        <v>108</v>
      </c>
      <c r="B9" s="8" t="s">
        <v>21</v>
      </c>
    </row>
    <row r="10" spans="1:6" x14ac:dyDescent="0.3">
      <c r="A10" s="7">
        <v>109</v>
      </c>
      <c r="B10" s="8" t="s">
        <v>22</v>
      </c>
    </row>
    <row r="11" spans="1:6" x14ac:dyDescent="0.3">
      <c r="A11" s="7">
        <v>110</v>
      </c>
      <c r="B11" s="8" t="s">
        <v>23</v>
      </c>
    </row>
    <row r="12" spans="1:6" x14ac:dyDescent="0.3">
      <c r="A12" s="7">
        <v>111</v>
      </c>
      <c r="B12" s="8" t="s">
        <v>24</v>
      </c>
    </row>
    <row r="13" spans="1:6" x14ac:dyDescent="0.3">
      <c r="A13" s="7">
        <v>112</v>
      </c>
      <c r="B13" s="8" t="s">
        <v>25</v>
      </c>
    </row>
    <row r="14" spans="1:6" x14ac:dyDescent="0.3">
      <c r="A14" s="7">
        <v>113</v>
      </c>
      <c r="B14" s="8" t="s">
        <v>26</v>
      </c>
      <c r="C14" s="36" t="s">
        <v>51</v>
      </c>
      <c r="D14" s="4">
        <v>102</v>
      </c>
      <c r="E14" s="36" t="s">
        <v>50</v>
      </c>
      <c r="F14" s="4" t="str">
        <f>VLOOKUP(D14,A2:B21,2,FALSE)</f>
        <v>Nikita</v>
      </c>
    </row>
    <row r="15" spans="1:6" x14ac:dyDescent="0.3">
      <c r="A15" s="7">
        <v>114</v>
      </c>
      <c r="B15" s="8" t="s">
        <v>27</v>
      </c>
    </row>
    <row r="16" spans="1:6" x14ac:dyDescent="0.3">
      <c r="A16" s="7">
        <v>115</v>
      </c>
      <c r="B16" s="8" t="s">
        <v>28</v>
      </c>
    </row>
    <row r="17" spans="1:2" x14ac:dyDescent="0.3">
      <c r="A17" s="7">
        <v>116</v>
      </c>
      <c r="B17" s="8" t="s">
        <v>29</v>
      </c>
    </row>
    <row r="18" spans="1:2" x14ac:dyDescent="0.3">
      <c r="A18" s="7">
        <v>117</v>
      </c>
      <c r="B18" s="8" t="s">
        <v>30</v>
      </c>
    </row>
    <row r="19" spans="1:2" x14ac:dyDescent="0.3">
      <c r="A19" s="7">
        <v>118</v>
      </c>
      <c r="B19" s="8" t="s">
        <v>31</v>
      </c>
    </row>
    <row r="20" spans="1:2" x14ac:dyDescent="0.3">
      <c r="A20" s="7">
        <v>119</v>
      </c>
      <c r="B20" s="8" t="s">
        <v>32</v>
      </c>
    </row>
    <row r="21" spans="1:2" x14ac:dyDescent="0.3">
      <c r="A21" s="9">
        <v>120</v>
      </c>
      <c r="B21" s="10" t="s">
        <v>33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pane ySplit="1" topLeftCell="A2" activePane="bottomLeft" state="frozen"/>
      <selection pane="bottomLeft" activeCell="G15" sqref="G15"/>
    </sheetView>
  </sheetViews>
  <sheetFormatPr defaultRowHeight="14.4" x14ac:dyDescent="0.3"/>
  <cols>
    <col min="1" max="3" width="18" customWidth="1"/>
    <col min="6" max="6" width="23.77734375" style="1" customWidth="1"/>
    <col min="7" max="7" width="13.44140625" customWidth="1"/>
  </cols>
  <sheetData>
    <row r="1" spans="1:7" x14ac:dyDescent="0.3">
      <c r="A1" s="30" t="s">
        <v>52</v>
      </c>
      <c r="B1" s="35" t="s">
        <v>0</v>
      </c>
      <c r="C1" s="31" t="s">
        <v>8</v>
      </c>
    </row>
    <row r="2" spans="1:7" x14ac:dyDescent="0.3">
      <c r="A2" s="7" t="s">
        <v>53</v>
      </c>
      <c r="B2" s="4" t="s">
        <v>4</v>
      </c>
      <c r="C2" s="8">
        <v>6000</v>
      </c>
    </row>
    <row r="3" spans="1:7" x14ac:dyDescent="0.3">
      <c r="A3" s="7" t="s">
        <v>54</v>
      </c>
      <c r="B3" s="4" t="s">
        <v>6</v>
      </c>
      <c r="C3" s="8">
        <v>4000</v>
      </c>
    </row>
    <row r="4" spans="1:7" x14ac:dyDescent="0.3">
      <c r="A4" s="7" t="s">
        <v>55</v>
      </c>
      <c r="B4" s="4" t="s">
        <v>4</v>
      </c>
      <c r="C4" s="8">
        <v>2500</v>
      </c>
    </row>
    <row r="5" spans="1:7" x14ac:dyDescent="0.3">
      <c r="A5" s="7" t="s">
        <v>56</v>
      </c>
      <c r="B5" s="4" t="s">
        <v>3</v>
      </c>
      <c r="C5" s="8">
        <v>1500</v>
      </c>
    </row>
    <row r="6" spans="1:7" x14ac:dyDescent="0.3">
      <c r="A6" s="7" t="s">
        <v>57</v>
      </c>
      <c r="B6" s="4" t="s">
        <v>6</v>
      </c>
      <c r="C6" s="8">
        <v>8000</v>
      </c>
    </row>
    <row r="7" spans="1:7" x14ac:dyDescent="0.3">
      <c r="A7" s="7" t="s">
        <v>58</v>
      </c>
      <c r="B7" s="4" t="s">
        <v>4</v>
      </c>
      <c r="C7" s="8">
        <v>3200</v>
      </c>
    </row>
    <row r="8" spans="1:7" x14ac:dyDescent="0.3">
      <c r="A8" s="7" t="s">
        <v>59</v>
      </c>
      <c r="B8" s="4" t="s">
        <v>3</v>
      </c>
      <c r="C8" s="8">
        <v>5200</v>
      </c>
    </row>
    <row r="9" spans="1:7" x14ac:dyDescent="0.3">
      <c r="A9" s="7" t="s">
        <v>60</v>
      </c>
      <c r="B9" s="4" t="s">
        <v>4</v>
      </c>
      <c r="C9" s="8">
        <v>2800</v>
      </c>
    </row>
    <row r="10" spans="1:7" x14ac:dyDescent="0.3">
      <c r="A10" s="7" t="s">
        <v>61</v>
      </c>
      <c r="B10" s="4" t="s">
        <v>6</v>
      </c>
      <c r="C10" s="8">
        <v>4500</v>
      </c>
    </row>
    <row r="11" spans="1:7" x14ac:dyDescent="0.3">
      <c r="A11" s="7" t="s">
        <v>62</v>
      </c>
      <c r="B11" s="4" t="s">
        <v>3</v>
      </c>
      <c r="C11" s="8">
        <v>7000</v>
      </c>
    </row>
    <row r="12" spans="1:7" x14ac:dyDescent="0.3">
      <c r="A12" s="7" t="s">
        <v>63</v>
      </c>
      <c r="B12" s="4" t="s">
        <v>4</v>
      </c>
      <c r="C12" s="8">
        <v>5500</v>
      </c>
    </row>
    <row r="13" spans="1:7" x14ac:dyDescent="0.3">
      <c r="A13" s="7" t="s">
        <v>64</v>
      </c>
      <c r="B13" s="4" t="s">
        <v>6</v>
      </c>
      <c r="C13" s="8">
        <v>2900</v>
      </c>
    </row>
    <row r="14" spans="1:7" x14ac:dyDescent="0.3">
      <c r="A14" s="7" t="s">
        <v>65</v>
      </c>
      <c r="B14" s="4" t="s">
        <v>4</v>
      </c>
      <c r="C14" s="8">
        <v>4200</v>
      </c>
      <c r="F14" s="37" t="s">
        <v>66</v>
      </c>
      <c r="G14" s="4" t="s">
        <v>147</v>
      </c>
    </row>
    <row r="15" spans="1:7" x14ac:dyDescent="0.3">
      <c r="A15" s="7" t="s">
        <v>67</v>
      </c>
      <c r="B15" s="4" t="s">
        <v>4</v>
      </c>
      <c r="C15" s="8">
        <v>9000</v>
      </c>
      <c r="F15" s="36" t="s">
        <v>68</v>
      </c>
      <c r="G15" s="4">
        <f>VLOOKUP(G14,A2:C21,3,FALSE)</f>
        <v>5500</v>
      </c>
    </row>
    <row r="16" spans="1:7" x14ac:dyDescent="0.3">
      <c r="A16" s="7" t="s">
        <v>69</v>
      </c>
      <c r="B16" s="4" t="s">
        <v>3</v>
      </c>
      <c r="C16" s="8">
        <v>1800</v>
      </c>
    </row>
    <row r="17" spans="1:3" x14ac:dyDescent="0.3">
      <c r="A17" s="7" t="s">
        <v>70</v>
      </c>
      <c r="B17" s="4" t="s">
        <v>6</v>
      </c>
      <c r="C17" s="8">
        <v>6500</v>
      </c>
    </row>
    <row r="18" spans="1:3" x14ac:dyDescent="0.3">
      <c r="A18" s="7" t="s">
        <v>71</v>
      </c>
      <c r="B18" s="4" t="s">
        <v>4</v>
      </c>
      <c r="C18" s="8">
        <v>3500</v>
      </c>
    </row>
    <row r="19" spans="1:3" x14ac:dyDescent="0.3">
      <c r="A19" s="7" t="s">
        <v>72</v>
      </c>
      <c r="B19" s="4" t="s">
        <v>6</v>
      </c>
      <c r="C19" s="8">
        <v>4800</v>
      </c>
    </row>
    <row r="20" spans="1:3" x14ac:dyDescent="0.3">
      <c r="A20" s="7" t="s">
        <v>73</v>
      </c>
      <c r="B20" s="4" t="s">
        <v>3</v>
      </c>
      <c r="C20" s="8">
        <v>2300</v>
      </c>
    </row>
    <row r="21" spans="1:3" x14ac:dyDescent="0.3">
      <c r="A21" s="9" t="s">
        <v>74</v>
      </c>
      <c r="B21" s="5" t="s">
        <v>4</v>
      </c>
      <c r="C21" s="10">
        <v>7500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8" customWidth="1"/>
    <col min="4" max="5" width="20.109375" customWidth="1"/>
    <col min="6" max="6" width="15.109375" bestFit="1" customWidth="1"/>
    <col min="7" max="8" width="14.44140625" customWidth="1"/>
  </cols>
  <sheetData>
    <row r="1" spans="1:7" x14ac:dyDescent="0.3">
      <c r="A1" s="33" t="s">
        <v>75</v>
      </c>
      <c r="B1" s="28" t="s">
        <v>76</v>
      </c>
      <c r="C1" s="28" t="s">
        <v>1</v>
      </c>
      <c r="D1" s="41" t="s">
        <v>77</v>
      </c>
    </row>
    <row r="2" spans="1:7" x14ac:dyDescent="0.3">
      <c r="A2" s="7" t="s">
        <v>16</v>
      </c>
      <c r="B2" s="4" t="s">
        <v>78</v>
      </c>
      <c r="C2" s="4">
        <v>50000</v>
      </c>
      <c r="D2" s="8" t="str">
        <f t="shared" ref="D2:D33" si="0">A2&amp;"|"&amp;B2</f>
        <v>Rahul|Jan</v>
      </c>
      <c r="F2" s="38" t="s">
        <v>16</v>
      </c>
      <c r="G2" s="39" t="s">
        <v>79</v>
      </c>
    </row>
    <row r="3" spans="1:7" x14ac:dyDescent="0.3">
      <c r="A3" s="7" t="s">
        <v>16</v>
      </c>
      <c r="B3" s="4" t="s">
        <v>79</v>
      </c>
      <c r="C3" s="4">
        <v>52000</v>
      </c>
      <c r="D3" s="8" t="str">
        <f t="shared" si="0"/>
        <v>Rahul|Feb</v>
      </c>
      <c r="F3" s="36" t="s">
        <v>80</v>
      </c>
      <c r="G3" s="4">
        <f>INDEX($C$2:$C$61,MATCH(F2&amp;"|"&amp;G2,$D$2:$D$61,0))</f>
        <v>52000</v>
      </c>
    </row>
    <row r="4" spans="1:7" x14ac:dyDescent="0.3">
      <c r="A4" s="7" t="s">
        <v>16</v>
      </c>
      <c r="B4" s="4" t="s">
        <v>81</v>
      </c>
      <c r="C4" s="4">
        <v>54000</v>
      </c>
      <c r="D4" s="8" t="str">
        <f t="shared" si="0"/>
        <v>Rahul|Mar</v>
      </c>
      <c r="F4" s="36" t="s">
        <v>82</v>
      </c>
      <c r="G4" s="4" t="str">
        <f>INDEX($A$2:$A$61,MATCH(F2&amp;"|"&amp;G2,$D$2:$D$61,0))</f>
        <v>Rahul</v>
      </c>
    </row>
    <row r="5" spans="1:7" x14ac:dyDescent="0.3">
      <c r="A5" s="7" t="s">
        <v>14</v>
      </c>
      <c r="B5" s="4" t="s">
        <v>78</v>
      </c>
      <c r="C5" s="4">
        <v>30000</v>
      </c>
      <c r="D5" s="8" t="str">
        <f t="shared" si="0"/>
        <v>Priya|Jan</v>
      </c>
    </row>
    <row r="6" spans="1:7" x14ac:dyDescent="0.3">
      <c r="A6" s="7" t="s">
        <v>14</v>
      </c>
      <c r="B6" s="4" t="s">
        <v>79</v>
      </c>
      <c r="C6" s="4">
        <v>32000</v>
      </c>
      <c r="D6" s="8" t="str">
        <f t="shared" si="0"/>
        <v>Priya|Feb</v>
      </c>
    </row>
    <row r="7" spans="1:7" x14ac:dyDescent="0.3">
      <c r="A7" s="7" t="s">
        <v>14</v>
      </c>
      <c r="B7" s="4" t="s">
        <v>81</v>
      </c>
      <c r="C7" s="4">
        <v>34000</v>
      </c>
      <c r="D7" s="8" t="str">
        <f t="shared" si="0"/>
        <v>Priya|Mar</v>
      </c>
    </row>
    <row r="8" spans="1:7" x14ac:dyDescent="0.3">
      <c r="A8" s="7" t="s">
        <v>15</v>
      </c>
      <c r="B8" s="4" t="s">
        <v>78</v>
      </c>
      <c r="C8" s="4">
        <v>45000</v>
      </c>
      <c r="D8" s="8" t="str">
        <f t="shared" si="0"/>
        <v>Nikita|Jan</v>
      </c>
    </row>
    <row r="9" spans="1:7" x14ac:dyDescent="0.3">
      <c r="A9" s="7" t="s">
        <v>15</v>
      </c>
      <c r="B9" s="4" t="s">
        <v>79</v>
      </c>
      <c r="C9" s="4">
        <v>47000</v>
      </c>
      <c r="D9" s="8" t="str">
        <f t="shared" si="0"/>
        <v>Nikita|Feb</v>
      </c>
    </row>
    <row r="10" spans="1:7" x14ac:dyDescent="0.3">
      <c r="A10" s="7" t="s">
        <v>15</v>
      </c>
      <c r="B10" s="4" t="s">
        <v>81</v>
      </c>
      <c r="C10" s="4">
        <v>49000</v>
      </c>
      <c r="D10" s="8" t="str">
        <f t="shared" si="0"/>
        <v>Nikita|Mar</v>
      </c>
    </row>
    <row r="11" spans="1:7" x14ac:dyDescent="0.3">
      <c r="A11" s="7" t="s">
        <v>18</v>
      </c>
      <c r="B11" s="4" t="s">
        <v>78</v>
      </c>
      <c r="C11" s="4">
        <v>25000</v>
      </c>
      <c r="D11" s="8" t="str">
        <f t="shared" si="0"/>
        <v>Amit|Jan</v>
      </c>
    </row>
    <row r="12" spans="1:7" x14ac:dyDescent="0.3">
      <c r="A12" s="7" t="s">
        <v>18</v>
      </c>
      <c r="B12" s="4" t="s">
        <v>79</v>
      </c>
      <c r="C12" s="4">
        <v>27000</v>
      </c>
      <c r="D12" s="8" t="str">
        <f t="shared" si="0"/>
        <v>Amit|Feb</v>
      </c>
    </row>
    <row r="13" spans="1:7" x14ac:dyDescent="0.3">
      <c r="A13" s="7" t="s">
        <v>18</v>
      </c>
      <c r="B13" s="4" t="s">
        <v>81</v>
      </c>
      <c r="C13" s="4">
        <v>29000</v>
      </c>
      <c r="D13" s="8" t="str">
        <f t="shared" si="0"/>
        <v>Amit|Mar</v>
      </c>
    </row>
    <row r="14" spans="1:7" x14ac:dyDescent="0.3">
      <c r="A14" s="7" t="s">
        <v>16</v>
      </c>
      <c r="B14" s="4" t="s">
        <v>78</v>
      </c>
      <c r="C14" s="4">
        <v>60000</v>
      </c>
      <c r="D14" s="8" t="str">
        <f t="shared" si="0"/>
        <v>Rahul|Jan</v>
      </c>
    </row>
    <row r="15" spans="1:7" x14ac:dyDescent="0.3">
      <c r="A15" s="7" t="s">
        <v>16</v>
      </c>
      <c r="B15" s="4" t="s">
        <v>79</v>
      </c>
      <c r="C15" s="4">
        <v>62000</v>
      </c>
      <c r="D15" s="8" t="str">
        <f t="shared" si="0"/>
        <v>Rahul|Feb</v>
      </c>
    </row>
    <row r="16" spans="1:7" x14ac:dyDescent="0.3">
      <c r="A16" s="7" t="s">
        <v>16</v>
      </c>
      <c r="B16" s="4" t="s">
        <v>81</v>
      </c>
      <c r="C16" s="4">
        <v>64000</v>
      </c>
      <c r="D16" s="8" t="str">
        <f t="shared" si="0"/>
        <v>Rahul|Mar</v>
      </c>
    </row>
    <row r="17" spans="1:4" x14ac:dyDescent="0.3">
      <c r="A17" s="7" t="s">
        <v>22</v>
      </c>
      <c r="B17" s="4" t="s">
        <v>78</v>
      </c>
      <c r="C17" s="4">
        <v>40000</v>
      </c>
      <c r="D17" s="8" t="str">
        <f t="shared" si="0"/>
        <v>Pooja|Jan</v>
      </c>
    </row>
    <row r="18" spans="1:4" x14ac:dyDescent="0.3">
      <c r="A18" s="7" t="s">
        <v>22</v>
      </c>
      <c r="B18" s="4" t="s">
        <v>79</v>
      </c>
      <c r="C18" s="4">
        <v>42000</v>
      </c>
      <c r="D18" s="8" t="str">
        <f t="shared" si="0"/>
        <v>Pooja|Feb</v>
      </c>
    </row>
    <row r="19" spans="1:4" x14ac:dyDescent="0.3">
      <c r="A19" s="7" t="s">
        <v>22</v>
      </c>
      <c r="B19" s="4" t="s">
        <v>81</v>
      </c>
      <c r="C19" s="4">
        <v>44000</v>
      </c>
      <c r="D19" s="8" t="str">
        <f t="shared" si="0"/>
        <v>Pooja|Mar</v>
      </c>
    </row>
    <row r="20" spans="1:4" x14ac:dyDescent="0.3">
      <c r="A20" s="7" t="s">
        <v>21</v>
      </c>
      <c r="B20" s="4" t="s">
        <v>78</v>
      </c>
      <c r="C20" s="4">
        <v>20000</v>
      </c>
      <c r="D20" s="8" t="str">
        <f t="shared" si="0"/>
        <v>Kiran|Jan</v>
      </c>
    </row>
    <row r="21" spans="1:4" x14ac:dyDescent="0.3">
      <c r="A21" s="7" t="s">
        <v>21</v>
      </c>
      <c r="B21" s="4" t="s">
        <v>79</v>
      </c>
      <c r="C21" s="4">
        <v>22000</v>
      </c>
      <c r="D21" s="8" t="str">
        <f t="shared" si="0"/>
        <v>Kiran|Feb</v>
      </c>
    </row>
    <row r="22" spans="1:4" x14ac:dyDescent="0.3">
      <c r="A22" s="7" t="s">
        <v>21</v>
      </c>
      <c r="B22" s="4" t="s">
        <v>81</v>
      </c>
      <c r="C22" s="4">
        <v>24000</v>
      </c>
      <c r="D22" s="8" t="str">
        <f t="shared" si="0"/>
        <v>Kiran|Mar</v>
      </c>
    </row>
    <row r="23" spans="1:4" x14ac:dyDescent="0.3">
      <c r="A23" s="7" t="s">
        <v>14</v>
      </c>
      <c r="B23" s="4" t="s">
        <v>78</v>
      </c>
      <c r="C23" s="4">
        <v>55000</v>
      </c>
      <c r="D23" s="8" t="str">
        <f t="shared" si="0"/>
        <v>Priya|Jan</v>
      </c>
    </row>
    <row r="24" spans="1:4" x14ac:dyDescent="0.3">
      <c r="A24" s="7" t="s">
        <v>14</v>
      </c>
      <c r="B24" s="4" t="s">
        <v>79</v>
      </c>
      <c r="C24" s="4">
        <v>57000</v>
      </c>
      <c r="D24" s="8" t="str">
        <f t="shared" si="0"/>
        <v>Priya|Feb</v>
      </c>
    </row>
    <row r="25" spans="1:4" x14ac:dyDescent="0.3">
      <c r="A25" s="7" t="s">
        <v>14</v>
      </c>
      <c r="B25" s="4" t="s">
        <v>81</v>
      </c>
      <c r="C25" s="4">
        <v>59000</v>
      </c>
      <c r="D25" s="8" t="str">
        <f t="shared" si="0"/>
        <v>Priya|Mar</v>
      </c>
    </row>
    <row r="26" spans="1:4" x14ac:dyDescent="0.3">
      <c r="A26" s="7" t="s">
        <v>15</v>
      </c>
      <c r="B26" s="4" t="s">
        <v>78</v>
      </c>
      <c r="C26" s="4">
        <v>35000</v>
      </c>
      <c r="D26" s="8" t="str">
        <f t="shared" si="0"/>
        <v>Nikita|Jan</v>
      </c>
    </row>
    <row r="27" spans="1:4" x14ac:dyDescent="0.3">
      <c r="A27" s="7" t="s">
        <v>15</v>
      </c>
      <c r="B27" s="4" t="s">
        <v>79</v>
      </c>
      <c r="C27" s="4">
        <v>37000</v>
      </c>
      <c r="D27" s="8" t="str">
        <f t="shared" si="0"/>
        <v>Nikita|Feb</v>
      </c>
    </row>
    <row r="28" spans="1:4" x14ac:dyDescent="0.3">
      <c r="A28" s="7" t="s">
        <v>15</v>
      </c>
      <c r="B28" s="4" t="s">
        <v>81</v>
      </c>
      <c r="C28" s="4">
        <v>39000</v>
      </c>
      <c r="D28" s="8" t="str">
        <f t="shared" si="0"/>
        <v>Nikita|Mar</v>
      </c>
    </row>
    <row r="29" spans="1:4" x14ac:dyDescent="0.3">
      <c r="A29" s="7" t="s">
        <v>16</v>
      </c>
      <c r="B29" s="4" t="s">
        <v>78</v>
      </c>
      <c r="C29" s="4">
        <v>18000</v>
      </c>
      <c r="D29" s="8" t="str">
        <f t="shared" si="0"/>
        <v>Rahul|Jan</v>
      </c>
    </row>
    <row r="30" spans="1:4" x14ac:dyDescent="0.3">
      <c r="A30" s="7" t="s">
        <v>16</v>
      </c>
      <c r="B30" s="4" t="s">
        <v>79</v>
      </c>
      <c r="C30" s="4">
        <v>20000</v>
      </c>
      <c r="D30" s="8" t="str">
        <f t="shared" si="0"/>
        <v>Rahul|Feb</v>
      </c>
    </row>
    <row r="31" spans="1:4" x14ac:dyDescent="0.3">
      <c r="A31" s="7" t="s">
        <v>16</v>
      </c>
      <c r="B31" s="4" t="s">
        <v>81</v>
      </c>
      <c r="C31" s="4">
        <v>22000</v>
      </c>
      <c r="D31" s="8" t="str">
        <f t="shared" si="0"/>
        <v>Rahul|Mar</v>
      </c>
    </row>
    <row r="32" spans="1:4" x14ac:dyDescent="0.3">
      <c r="A32" s="7" t="s">
        <v>18</v>
      </c>
      <c r="B32" s="4" t="s">
        <v>78</v>
      </c>
      <c r="C32" s="4">
        <v>48000</v>
      </c>
      <c r="D32" s="8" t="str">
        <f t="shared" si="0"/>
        <v>Amit|Jan</v>
      </c>
    </row>
    <row r="33" spans="1:4" x14ac:dyDescent="0.3">
      <c r="A33" s="7" t="s">
        <v>18</v>
      </c>
      <c r="B33" s="4" t="s">
        <v>79</v>
      </c>
      <c r="C33" s="4">
        <v>50000</v>
      </c>
      <c r="D33" s="8" t="str">
        <f t="shared" si="0"/>
        <v>Amit|Feb</v>
      </c>
    </row>
    <row r="34" spans="1:4" x14ac:dyDescent="0.3">
      <c r="A34" s="7" t="s">
        <v>18</v>
      </c>
      <c r="B34" s="4" t="s">
        <v>81</v>
      </c>
      <c r="C34" s="4">
        <v>52000</v>
      </c>
      <c r="D34" s="8" t="str">
        <f t="shared" ref="D34:D61" si="1">A34&amp;"|"&amp;B34</f>
        <v>Amit|Mar</v>
      </c>
    </row>
    <row r="35" spans="1:4" x14ac:dyDescent="0.3">
      <c r="A35" s="7" t="s">
        <v>22</v>
      </c>
      <c r="B35" s="4" t="s">
        <v>78</v>
      </c>
      <c r="C35" s="4">
        <v>28000</v>
      </c>
      <c r="D35" s="8" t="str">
        <f t="shared" si="1"/>
        <v>Pooja|Jan</v>
      </c>
    </row>
    <row r="36" spans="1:4" x14ac:dyDescent="0.3">
      <c r="A36" s="7" t="s">
        <v>22</v>
      </c>
      <c r="B36" s="4" t="s">
        <v>79</v>
      </c>
      <c r="C36" s="4">
        <v>30000</v>
      </c>
      <c r="D36" s="8" t="str">
        <f t="shared" si="1"/>
        <v>Pooja|Feb</v>
      </c>
    </row>
    <row r="37" spans="1:4" x14ac:dyDescent="0.3">
      <c r="A37" s="7" t="s">
        <v>22</v>
      </c>
      <c r="B37" s="4" t="s">
        <v>81</v>
      </c>
      <c r="C37" s="4">
        <v>32000</v>
      </c>
      <c r="D37" s="8" t="str">
        <f t="shared" si="1"/>
        <v>Pooja|Mar</v>
      </c>
    </row>
    <row r="38" spans="1:4" x14ac:dyDescent="0.3">
      <c r="A38" s="7" t="s">
        <v>21</v>
      </c>
      <c r="B38" s="4" t="s">
        <v>78</v>
      </c>
      <c r="C38" s="4">
        <v>52000</v>
      </c>
      <c r="D38" s="8" t="str">
        <f t="shared" si="1"/>
        <v>Kiran|Jan</v>
      </c>
    </row>
    <row r="39" spans="1:4" x14ac:dyDescent="0.3">
      <c r="A39" s="7" t="s">
        <v>21</v>
      </c>
      <c r="B39" s="4" t="s">
        <v>79</v>
      </c>
      <c r="C39" s="4">
        <v>54000</v>
      </c>
      <c r="D39" s="8" t="str">
        <f t="shared" si="1"/>
        <v>Kiran|Feb</v>
      </c>
    </row>
    <row r="40" spans="1:4" x14ac:dyDescent="0.3">
      <c r="A40" s="7" t="s">
        <v>21</v>
      </c>
      <c r="B40" s="4" t="s">
        <v>81</v>
      </c>
      <c r="C40" s="4">
        <v>56000</v>
      </c>
      <c r="D40" s="8" t="str">
        <f t="shared" si="1"/>
        <v>Kiran|Mar</v>
      </c>
    </row>
    <row r="41" spans="1:4" x14ac:dyDescent="0.3">
      <c r="A41" s="7" t="s">
        <v>14</v>
      </c>
      <c r="B41" s="4" t="s">
        <v>78</v>
      </c>
      <c r="C41" s="4">
        <v>75000</v>
      </c>
      <c r="D41" s="8" t="str">
        <f t="shared" si="1"/>
        <v>Priya|Jan</v>
      </c>
    </row>
    <row r="42" spans="1:4" x14ac:dyDescent="0.3">
      <c r="A42" s="7" t="s">
        <v>14</v>
      </c>
      <c r="B42" s="4" t="s">
        <v>79</v>
      </c>
      <c r="C42" s="4">
        <v>77000</v>
      </c>
      <c r="D42" s="8" t="str">
        <f t="shared" si="1"/>
        <v>Priya|Feb</v>
      </c>
    </row>
    <row r="43" spans="1:4" x14ac:dyDescent="0.3">
      <c r="A43" s="7" t="s">
        <v>14</v>
      </c>
      <c r="B43" s="4" t="s">
        <v>81</v>
      </c>
      <c r="C43" s="4">
        <v>79000</v>
      </c>
      <c r="D43" s="8" t="str">
        <f t="shared" si="1"/>
        <v>Priya|Mar</v>
      </c>
    </row>
    <row r="44" spans="1:4" x14ac:dyDescent="0.3">
      <c r="A44" s="7" t="s">
        <v>16</v>
      </c>
      <c r="B44" s="4" t="s">
        <v>78</v>
      </c>
      <c r="C44" s="4">
        <v>22000</v>
      </c>
      <c r="D44" s="8" t="str">
        <f t="shared" si="1"/>
        <v>Rahul|Jan</v>
      </c>
    </row>
    <row r="45" spans="1:4" x14ac:dyDescent="0.3">
      <c r="A45" s="7" t="s">
        <v>16</v>
      </c>
      <c r="B45" s="4" t="s">
        <v>79</v>
      </c>
      <c r="C45" s="4">
        <v>24000</v>
      </c>
      <c r="D45" s="8" t="str">
        <f t="shared" si="1"/>
        <v>Rahul|Feb</v>
      </c>
    </row>
    <row r="46" spans="1:4" x14ac:dyDescent="0.3">
      <c r="A46" s="7" t="s">
        <v>16</v>
      </c>
      <c r="B46" s="4" t="s">
        <v>81</v>
      </c>
      <c r="C46" s="4">
        <v>26000</v>
      </c>
      <c r="D46" s="8" t="str">
        <f t="shared" si="1"/>
        <v>Rahul|Mar</v>
      </c>
    </row>
    <row r="47" spans="1:4" x14ac:dyDescent="0.3">
      <c r="A47" s="7" t="s">
        <v>15</v>
      </c>
      <c r="B47" s="4" t="s">
        <v>78</v>
      </c>
      <c r="C47" s="4">
        <v>46000</v>
      </c>
      <c r="D47" s="8" t="str">
        <f t="shared" si="1"/>
        <v>Nikita|Jan</v>
      </c>
    </row>
    <row r="48" spans="1:4" x14ac:dyDescent="0.3">
      <c r="A48" s="7" t="s">
        <v>15</v>
      </c>
      <c r="B48" s="4" t="s">
        <v>79</v>
      </c>
      <c r="C48" s="4">
        <v>48000</v>
      </c>
      <c r="D48" s="8" t="str">
        <f t="shared" si="1"/>
        <v>Nikita|Feb</v>
      </c>
    </row>
    <row r="49" spans="1:4" x14ac:dyDescent="0.3">
      <c r="A49" s="7" t="s">
        <v>15</v>
      </c>
      <c r="B49" s="4" t="s">
        <v>81</v>
      </c>
      <c r="C49" s="4">
        <v>50000</v>
      </c>
      <c r="D49" s="8" t="str">
        <f t="shared" si="1"/>
        <v>Nikita|Mar</v>
      </c>
    </row>
    <row r="50" spans="1:4" x14ac:dyDescent="0.3">
      <c r="A50" s="7" t="s">
        <v>18</v>
      </c>
      <c r="B50" s="4" t="s">
        <v>78</v>
      </c>
      <c r="C50" s="4">
        <v>39000</v>
      </c>
      <c r="D50" s="8" t="str">
        <f t="shared" si="1"/>
        <v>Amit|Jan</v>
      </c>
    </row>
    <row r="51" spans="1:4" x14ac:dyDescent="0.3">
      <c r="A51" s="7" t="s">
        <v>18</v>
      </c>
      <c r="B51" s="4" t="s">
        <v>79</v>
      </c>
      <c r="C51" s="4">
        <v>41000</v>
      </c>
      <c r="D51" s="8" t="str">
        <f t="shared" si="1"/>
        <v>Amit|Feb</v>
      </c>
    </row>
    <row r="52" spans="1:4" x14ac:dyDescent="0.3">
      <c r="A52" s="7" t="s">
        <v>18</v>
      </c>
      <c r="B52" s="4" t="s">
        <v>81</v>
      </c>
      <c r="C52" s="4">
        <v>43000</v>
      </c>
      <c r="D52" s="8" t="str">
        <f t="shared" si="1"/>
        <v>Amit|Mar</v>
      </c>
    </row>
    <row r="53" spans="1:4" x14ac:dyDescent="0.3">
      <c r="A53" s="7" t="s">
        <v>22</v>
      </c>
      <c r="B53" s="4" t="s">
        <v>78</v>
      </c>
      <c r="C53" s="4">
        <v>41000</v>
      </c>
      <c r="D53" s="8" t="str">
        <f t="shared" si="1"/>
        <v>Pooja|Jan</v>
      </c>
    </row>
    <row r="54" spans="1:4" x14ac:dyDescent="0.3">
      <c r="A54" s="7" t="s">
        <v>22</v>
      </c>
      <c r="B54" s="4" t="s">
        <v>79</v>
      </c>
      <c r="C54" s="4">
        <v>43000</v>
      </c>
      <c r="D54" s="8" t="str">
        <f t="shared" si="1"/>
        <v>Pooja|Feb</v>
      </c>
    </row>
    <row r="55" spans="1:4" x14ac:dyDescent="0.3">
      <c r="A55" s="7" t="s">
        <v>22</v>
      </c>
      <c r="B55" s="4" t="s">
        <v>81</v>
      </c>
      <c r="C55" s="4">
        <v>45000</v>
      </c>
      <c r="D55" s="8" t="str">
        <f t="shared" si="1"/>
        <v>Pooja|Mar</v>
      </c>
    </row>
    <row r="56" spans="1:4" x14ac:dyDescent="0.3">
      <c r="A56" s="7" t="s">
        <v>21</v>
      </c>
      <c r="B56" s="4" t="s">
        <v>78</v>
      </c>
      <c r="C56" s="4">
        <v>17000</v>
      </c>
      <c r="D56" s="8" t="str">
        <f t="shared" si="1"/>
        <v>Kiran|Jan</v>
      </c>
    </row>
    <row r="57" spans="1:4" x14ac:dyDescent="0.3">
      <c r="A57" s="7" t="s">
        <v>21</v>
      </c>
      <c r="B57" s="4" t="s">
        <v>79</v>
      </c>
      <c r="C57" s="4">
        <v>19000</v>
      </c>
      <c r="D57" s="8" t="str">
        <f t="shared" si="1"/>
        <v>Kiran|Feb</v>
      </c>
    </row>
    <row r="58" spans="1:4" x14ac:dyDescent="0.3">
      <c r="A58" s="7" t="s">
        <v>21</v>
      </c>
      <c r="B58" s="4" t="s">
        <v>81</v>
      </c>
      <c r="C58" s="4">
        <v>21000</v>
      </c>
      <c r="D58" s="8" t="str">
        <f t="shared" si="1"/>
        <v>Kiran|Mar</v>
      </c>
    </row>
    <row r="59" spans="1:4" x14ac:dyDescent="0.3">
      <c r="A59" s="7" t="s">
        <v>16</v>
      </c>
      <c r="B59" s="4" t="s">
        <v>78</v>
      </c>
      <c r="C59" s="4">
        <v>68000</v>
      </c>
      <c r="D59" s="8" t="str">
        <f t="shared" si="1"/>
        <v>Rahul|Jan</v>
      </c>
    </row>
    <row r="60" spans="1:4" x14ac:dyDescent="0.3">
      <c r="A60" s="7" t="s">
        <v>16</v>
      </c>
      <c r="B60" s="4" t="s">
        <v>79</v>
      </c>
      <c r="C60" s="4">
        <v>70000</v>
      </c>
      <c r="D60" s="8" t="str">
        <f t="shared" si="1"/>
        <v>Rahul|Feb</v>
      </c>
    </row>
    <row r="61" spans="1:4" x14ac:dyDescent="0.3">
      <c r="A61" s="9" t="s">
        <v>16</v>
      </c>
      <c r="B61" s="5" t="s">
        <v>81</v>
      </c>
      <c r="C61" s="5">
        <v>72000</v>
      </c>
      <c r="D61" s="10" t="str">
        <f t="shared" si="1"/>
        <v>Rahul|Mar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"/>
  <sheetViews>
    <sheetView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5" width="18" customWidth="1"/>
    <col min="7" max="7" width="13.6640625" customWidth="1"/>
    <col min="9" max="9" width="17.109375" customWidth="1"/>
    <col min="10" max="10" width="14.44140625" customWidth="1"/>
  </cols>
  <sheetData>
    <row r="1" spans="1:10" x14ac:dyDescent="0.3">
      <c r="A1" s="30" t="s">
        <v>83</v>
      </c>
      <c r="B1" s="35" t="s">
        <v>84</v>
      </c>
      <c r="C1" s="35" t="s">
        <v>85</v>
      </c>
      <c r="D1" s="35" t="s">
        <v>86</v>
      </c>
      <c r="E1" s="31" t="s">
        <v>87</v>
      </c>
      <c r="G1" s="36" t="s">
        <v>88</v>
      </c>
      <c r="I1" s="36" t="s">
        <v>89</v>
      </c>
      <c r="J1" s="4">
        <v>205</v>
      </c>
    </row>
    <row r="2" spans="1:10" x14ac:dyDescent="0.3">
      <c r="A2" s="7">
        <v>201</v>
      </c>
      <c r="B2" s="4" t="s">
        <v>146</v>
      </c>
      <c r="C2" s="4" t="s">
        <v>90</v>
      </c>
      <c r="D2" s="4">
        <v>35000</v>
      </c>
      <c r="E2" s="46">
        <v>43966</v>
      </c>
      <c r="G2" s="4">
        <f t="shared" ref="G2:G11" si="0">DATEDIF(E2,DATE(2026,9,30),"Y")</f>
        <v>6</v>
      </c>
      <c r="I2" s="36" t="s">
        <v>91</v>
      </c>
      <c r="J2" s="4">
        <f>_xlfn.XLOOKUP(J1,A2:A11,D2:D11,"Not Found")</f>
        <v>48000</v>
      </c>
    </row>
    <row r="3" spans="1:10" x14ac:dyDescent="0.3">
      <c r="A3" s="7">
        <v>202</v>
      </c>
      <c r="B3" s="4" t="s">
        <v>15</v>
      </c>
      <c r="C3" s="4" t="s">
        <v>92</v>
      </c>
      <c r="D3" s="4">
        <v>45000</v>
      </c>
      <c r="E3" s="46">
        <v>43697</v>
      </c>
      <c r="G3" s="4">
        <f t="shared" si="0"/>
        <v>7</v>
      </c>
      <c r="I3" s="36" t="s">
        <v>93</v>
      </c>
      <c r="J3" s="57">
        <f>_xlfn.XLOOKUP(J1,A2:A11,E2:E11,"Not Found")</f>
        <v>44012</v>
      </c>
    </row>
    <row r="4" spans="1:10" x14ac:dyDescent="0.3">
      <c r="A4" s="7">
        <v>203</v>
      </c>
      <c r="B4" s="4" t="s">
        <v>16</v>
      </c>
      <c r="C4" s="4" t="s">
        <v>1</v>
      </c>
      <c r="D4" s="4">
        <v>40000</v>
      </c>
      <c r="E4" s="46">
        <v>44206</v>
      </c>
      <c r="G4" s="4">
        <f t="shared" si="0"/>
        <v>5</v>
      </c>
    </row>
    <row r="5" spans="1:10" x14ac:dyDescent="0.3">
      <c r="A5" s="7">
        <v>204</v>
      </c>
      <c r="B5" s="4" t="s">
        <v>17</v>
      </c>
      <c r="C5" s="4" t="s">
        <v>94</v>
      </c>
      <c r="D5" s="4">
        <v>50000</v>
      </c>
      <c r="E5" s="46">
        <v>43429</v>
      </c>
      <c r="G5" s="4">
        <f t="shared" si="0"/>
        <v>7</v>
      </c>
    </row>
    <row r="6" spans="1:10" x14ac:dyDescent="0.3">
      <c r="A6" s="7">
        <v>205</v>
      </c>
      <c r="B6" s="4" t="s">
        <v>18</v>
      </c>
      <c r="C6" s="4" t="s">
        <v>92</v>
      </c>
      <c r="D6" s="4">
        <v>48000</v>
      </c>
      <c r="E6" s="46">
        <v>44012</v>
      </c>
      <c r="G6" s="4">
        <f t="shared" si="0"/>
        <v>6</v>
      </c>
    </row>
    <row r="7" spans="1:10" x14ac:dyDescent="0.3">
      <c r="A7" s="7">
        <v>206</v>
      </c>
      <c r="B7" s="4" t="s">
        <v>14</v>
      </c>
      <c r="C7" s="4" t="s">
        <v>90</v>
      </c>
      <c r="D7" s="4">
        <v>36000</v>
      </c>
      <c r="E7" s="46">
        <v>44632</v>
      </c>
      <c r="G7" s="4">
        <f t="shared" si="0"/>
        <v>4</v>
      </c>
    </row>
    <row r="8" spans="1:10" x14ac:dyDescent="0.3">
      <c r="A8" s="7">
        <v>207</v>
      </c>
      <c r="B8" s="4" t="s">
        <v>20</v>
      </c>
      <c r="C8" s="4" t="s">
        <v>1</v>
      </c>
      <c r="D8" s="4">
        <v>42000</v>
      </c>
      <c r="E8" s="46">
        <v>43664</v>
      </c>
      <c r="G8" s="4">
        <f t="shared" si="0"/>
        <v>7</v>
      </c>
    </row>
    <row r="9" spans="1:10" x14ac:dyDescent="0.3">
      <c r="A9" s="7">
        <v>208</v>
      </c>
      <c r="B9" s="4" t="s">
        <v>21</v>
      </c>
      <c r="C9" s="4" t="s">
        <v>94</v>
      </c>
      <c r="D9" s="4">
        <v>52000</v>
      </c>
      <c r="E9" s="46">
        <v>42983</v>
      </c>
      <c r="G9" s="4">
        <f t="shared" si="0"/>
        <v>9</v>
      </c>
    </row>
    <row r="10" spans="1:10" x14ac:dyDescent="0.3">
      <c r="A10" s="7">
        <v>209</v>
      </c>
      <c r="B10" s="4" t="s">
        <v>22</v>
      </c>
      <c r="C10" s="4" t="s">
        <v>92</v>
      </c>
      <c r="D10" s="4">
        <v>47000</v>
      </c>
      <c r="E10" s="46">
        <v>44249</v>
      </c>
      <c r="G10" s="4">
        <f t="shared" si="0"/>
        <v>5</v>
      </c>
    </row>
    <row r="11" spans="1:10" x14ac:dyDescent="0.3">
      <c r="A11" s="9">
        <v>210</v>
      </c>
      <c r="B11" s="5" t="s">
        <v>23</v>
      </c>
      <c r="C11" s="5" t="s">
        <v>1</v>
      </c>
      <c r="D11" s="5">
        <v>43000</v>
      </c>
      <c r="E11" s="48">
        <v>44114</v>
      </c>
      <c r="G11" s="4">
        <f t="shared" si="0"/>
        <v>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3"/>
  <cols>
    <col min="1" max="1" width="18" customWidth="1"/>
    <col min="2" max="2" width="15" customWidth="1"/>
    <col min="3" max="3" width="13.44140625" customWidth="1"/>
    <col min="4" max="4" width="17.88671875" customWidth="1"/>
    <col min="5" max="5" width="13.44140625" customWidth="1"/>
  </cols>
  <sheetData>
    <row r="1" spans="1:5" x14ac:dyDescent="0.3">
      <c r="A1" s="40" t="s">
        <v>95</v>
      </c>
      <c r="B1" s="36" t="s">
        <v>96</v>
      </c>
      <c r="C1" s="36" t="s">
        <v>97</v>
      </c>
      <c r="D1" s="36" t="s">
        <v>98</v>
      </c>
    </row>
    <row r="2" spans="1:5" x14ac:dyDescent="0.3">
      <c r="A2" s="4" t="s">
        <v>148</v>
      </c>
      <c r="B2" s="4" t="str">
        <f t="shared" ref="B2:B11" si="0">LEFT(A2,FIND(" ",A2)-1)</f>
        <v>Aastha</v>
      </c>
      <c r="C2" s="4" t="str">
        <f t="shared" ref="C2:C11" si="1">UPPER(A2)</f>
        <v>AASTHA PATEL</v>
      </c>
      <c r="D2" s="4" t="str">
        <f t="shared" ref="D2:D11" si="2">LOWER(A2)</f>
        <v>aastha patel</v>
      </c>
    </row>
    <row r="3" spans="1:5" x14ac:dyDescent="0.3">
      <c r="A3" s="4" t="s">
        <v>100</v>
      </c>
      <c r="B3" s="4" t="str">
        <f t="shared" si="0"/>
        <v>Nikita</v>
      </c>
      <c r="C3" s="4" t="str">
        <f t="shared" si="1"/>
        <v>NIKITA SHAH</v>
      </c>
      <c r="D3" s="4" t="str">
        <f t="shared" si="2"/>
        <v>nikita shah</v>
      </c>
    </row>
    <row r="4" spans="1:5" x14ac:dyDescent="0.3">
      <c r="A4" s="4" t="s">
        <v>101</v>
      </c>
      <c r="B4" s="4" t="str">
        <f t="shared" si="0"/>
        <v>Rahul</v>
      </c>
      <c r="C4" s="4" t="str">
        <f t="shared" si="1"/>
        <v>RAHUL MEHTA</v>
      </c>
      <c r="D4" s="4" t="str">
        <f t="shared" si="2"/>
        <v>rahul mehta</v>
      </c>
    </row>
    <row r="5" spans="1:5" x14ac:dyDescent="0.3">
      <c r="A5" s="4" t="s">
        <v>102</v>
      </c>
      <c r="B5" s="4" t="str">
        <f t="shared" si="0"/>
        <v>Riya</v>
      </c>
      <c r="C5" s="4" t="str">
        <f t="shared" si="1"/>
        <v>RIYA DESAI</v>
      </c>
      <c r="D5" s="4" t="str">
        <f t="shared" si="2"/>
        <v>riya desai</v>
      </c>
    </row>
    <row r="6" spans="1:5" x14ac:dyDescent="0.3">
      <c r="A6" s="4" t="s">
        <v>103</v>
      </c>
      <c r="B6" s="4" t="str">
        <f t="shared" si="0"/>
        <v>Amit</v>
      </c>
      <c r="C6" s="4" t="str">
        <f t="shared" si="1"/>
        <v>AMIT JOSHI</v>
      </c>
      <c r="D6" s="4" t="str">
        <f t="shared" si="2"/>
        <v>amit joshi</v>
      </c>
      <c r="E6" s="2"/>
    </row>
    <row r="7" spans="1:5" x14ac:dyDescent="0.3">
      <c r="A7" s="4" t="s">
        <v>99</v>
      </c>
      <c r="B7" s="4" t="str">
        <f t="shared" si="0"/>
        <v>Priya</v>
      </c>
      <c r="C7" s="4" t="str">
        <f t="shared" si="1"/>
        <v>PRIYA PATEL</v>
      </c>
      <c r="D7" s="4" t="str">
        <f t="shared" si="2"/>
        <v>priya patel</v>
      </c>
      <c r="E7" s="6"/>
    </row>
    <row r="8" spans="1:5" x14ac:dyDescent="0.3">
      <c r="A8" s="4" t="s">
        <v>104</v>
      </c>
      <c r="B8" s="4" t="str">
        <f t="shared" si="0"/>
        <v>Jay</v>
      </c>
      <c r="C8" s="4" t="str">
        <f t="shared" si="1"/>
        <v>JAY SHAH</v>
      </c>
      <c r="D8" s="4" t="str">
        <f t="shared" si="2"/>
        <v>jay shah</v>
      </c>
      <c r="E8" s="2"/>
    </row>
    <row r="9" spans="1:5" x14ac:dyDescent="0.3">
      <c r="A9" s="4" t="s">
        <v>105</v>
      </c>
      <c r="B9" s="4" t="str">
        <f t="shared" si="0"/>
        <v>Kiran</v>
      </c>
      <c r="C9" s="4" t="str">
        <f t="shared" si="1"/>
        <v>KIRAN MEHTA</v>
      </c>
      <c r="D9" s="4" t="str">
        <f t="shared" si="2"/>
        <v>kiran mehta</v>
      </c>
    </row>
    <row r="10" spans="1:5" x14ac:dyDescent="0.3">
      <c r="A10" s="4" t="s">
        <v>106</v>
      </c>
      <c r="B10" s="4" t="str">
        <f t="shared" si="0"/>
        <v>Pooja</v>
      </c>
      <c r="C10" s="4" t="str">
        <f t="shared" si="1"/>
        <v>POOJA DESAI</v>
      </c>
      <c r="D10" s="4" t="str">
        <f t="shared" si="2"/>
        <v>pooja desai</v>
      </c>
    </row>
    <row r="11" spans="1:5" x14ac:dyDescent="0.3">
      <c r="A11" s="4" t="s">
        <v>107</v>
      </c>
      <c r="B11" s="4" t="str">
        <f t="shared" si="0"/>
        <v>Arjun</v>
      </c>
      <c r="C11" s="4" t="str">
        <f t="shared" si="1"/>
        <v>ARJUN JOSHI</v>
      </c>
      <c r="D11" s="4" t="str">
        <f t="shared" si="2"/>
        <v>arjun joshi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7"/>
  <sheetViews>
    <sheetView workbookViewId="0">
      <pane ySplit="1" topLeftCell="A2" activePane="bottomLeft" state="frozen"/>
      <selection pane="bottomLeft" activeCell="J13" sqref="J13"/>
    </sheetView>
  </sheetViews>
  <sheetFormatPr defaultRowHeight="14.4" x14ac:dyDescent="0.3"/>
  <cols>
    <col min="1" max="4" width="18" customWidth="1"/>
    <col min="5" max="5" width="12.88671875" customWidth="1"/>
    <col min="9" max="9" width="16.21875" customWidth="1"/>
    <col min="10" max="10" width="15.109375" customWidth="1"/>
  </cols>
  <sheetData>
    <row r="1" spans="1:10" x14ac:dyDescent="0.3">
      <c r="A1" s="30" t="s">
        <v>83</v>
      </c>
      <c r="B1" s="35" t="s">
        <v>84</v>
      </c>
      <c r="C1" s="35" t="s">
        <v>86</v>
      </c>
      <c r="D1" s="35" t="s">
        <v>85</v>
      </c>
      <c r="E1" s="35" t="s">
        <v>75</v>
      </c>
      <c r="F1" s="35" t="s">
        <v>76</v>
      </c>
      <c r="G1" s="31" t="s">
        <v>1</v>
      </c>
    </row>
    <row r="2" spans="1:10" x14ac:dyDescent="0.3">
      <c r="A2" s="7">
        <v>201</v>
      </c>
      <c r="B2" s="4" t="s">
        <v>146</v>
      </c>
      <c r="C2" s="4">
        <v>35000</v>
      </c>
      <c r="D2" s="4" t="s">
        <v>90</v>
      </c>
      <c r="E2" s="4" t="s">
        <v>16</v>
      </c>
      <c r="F2" s="4" t="s">
        <v>78</v>
      </c>
      <c r="G2" s="8">
        <v>50000</v>
      </c>
    </row>
    <row r="3" spans="1:10" x14ac:dyDescent="0.3">
      <c r="A3" s="7">
        <v>202</v>
      </c>
      <c r="B3" s="4" t="s">
        <v>15</v>
      </c>
      <c r="C3" s="4">
        <v>45000</v>
      </c>
      <c r="D3" s="4" t="s">
        <v>92</v>
      </c>
      <c r="E3" s="4" t="s">
        <v>16</v>
      </c>
      <c r="F3" s="4" t="s">
        <v>79</v>
      </c>
      <c r="G3" s="8">
        <v>52000</v>
      </c>
    </row>
    <row r="4" spans="1:10" x14ac:dyDescent="0.3">
      <c r="A4" s="7">
        <v>203</v>
      </c>
      <c r="B4" s="4" t="s">
        <v>16</v>
      </c>
      <c r="C4" s="4">
        <v>40000</v>
      </c>
      <c r="D4" s="4" t="s">
        <v>1</v>
      </c>
      <c r="E4" s="4" t="s">
        <v>16</v>
      </c>
      <c r="F4" s="4" t="s">
        <v>81</v>
      </c>
      <c r="G4" s="8">
        <v>54000</v>
      </c>
    </row>
    <row r="5" spans="1:10" x14ac:dyDescent="0.3">
      <c r="A5" s="7">
        <v>204</v>
      </c>
      <c r="B5" s="4" t="s">
        <v>17</v>
      </c>
      <c r="C5" s="4">
        <v>50000</v>
      </c>
      <c r="D5" s="4" t="s">
        <v>94</v>
      </c>
      <c r="E5" s="4" t="s">
        <v>14</v>
      </c>
      <c r="F5" s="4" t="s">
        <v>78</v>
      </c>
      <c r="G5" s="8">
        <v>30000</v>
      </c>
    </row>
    <row r="6" spans="1:10" x14ac:dyDescent="0.3">
      <c r="A6" s="7">
        <v>205</v>
      </c>
      <c r="B6" s="4" t="s">
        <v>18</v>
      </c>
      <c r="C6" s="4">
        <v>48000</v>
      </c>
      <c r="D6" s="4" t="s">
        <v>92</v>
      </c>
      <c r="E6" s="4" t="s">
        <v>14</v>
      </c>
      <c r="F6" s="4" t="s">
        <v>79</v>
      </c>
      <c r="G6" s="8">
        <v>32000</v>
      </c>
    </row>
    <row r="7" spans="1:10" x14ac:dyDescent="0.3">
      <c r="A7" s="7">
        <v>206</v>
      </c>
      <c r="B7" s="4" t="s">
        <v>14</v>
      </c>
      <c r="C7" s="4">
        <v>36000</v>
      </c>
      <c r="D7" s="4" t="s">
        <v>90</v>
      </c>
      <c r="E7" s="4" t="s">
        <v>14</v>
      </c>
      <c r="F7" s="4" t="s">
        <v>81</v>
      </c>
      <c r="G7" s="8">
        <v>34000</v>
      </c>
    </row>
    <row r="8" spans="1:10" x14ac:dyDescent="0.3">
      <c r="A8" s="7">
        <v>207</v>
      </c>
      <c r="B8" s="4" t="s">
        <v>20</v>
      </c>
      <c r="C8" s="4">
        <v>42000</v>
      </c>
      <c r="D8" s="4" t="s">
        <v>1</v>
      </c>
      <c r="E8" s="4" t="s">
        <v>15</v>
      </c>
      <c r="F8" s="4" t="s">
        <v>78</v>
      </c>
      <c r="G8" s="8">
        <v>45000</v>
      </c>
    </row>
    <row r="9" spans="1:10" x14ac:dyDescent="0.3">
      <c r="A9" s="7">
        <v>208</v>
      </c>
      <c r="B9" s="4" t="s">
        <v>21</v>
      </c>
      <c r="C9" s="4">
        <v>52000</v>
      </c>
      <c r="D9" s="4" t="s">
        <v>94</v>
      </c>
      <c r="E9" s="4" t="s">
        <v>15</v>
      </c>
      <c r="F9" s="4" t="s">
        <v>79</v>
      </c>
      <c r="G9" s="8">
        <v>47000</v>
      </c>
    </row>
    <row r="10" spans="1:10" x14ac:dyDescent="0.3">
      <c r="A10" s="7">
        <v>209</v>
      </c>
      <c r="B10" s="4" t="s">
        <v>22</v>
      </c>
      <c r="C10" s="4">
        <v>47000</v>
      </c>
      <c r="D10" s="4" t="s">
        <v>92</v>
      </c>
      <c r="E10" s="4" t="s">
        <v>15</v>
      </c>
      <c r="F10" s="4" t="s">
        <v>81</v>
      </c>
      <c r="G10" s="8">
        <v>49000</v>
      </c>
    </row>
    <row r="11" spans="1:10" x14ac:dyDescent="0.3">
      <c r="A11" s="9">
        <v>210</v>
      </c>
      <c r="B11" s="5" t="s">
        <v>23</v>
      </c>
      <c r="C11" s="5">
        <v>43000</v>
      </c>
      <c r="D11" s="5" t="s">
        <v>1</v>
      </c>
      <c r="E11" s="5" t="s">
        <v>18</v>
      </c>
      <c r="F11" s="5" t="s">
        <v>78</v>
      </c>
      <c r="G11" s="10">
        <v>25000</v>
      </c>
    </row>
    <row r="12" spans="1:10" x14ac:dyDescent="0.3">
      <c r="I12" s="36" t="s">
        <v>83</v>
      </c>
      <c r="J12" s="4">
        <v>210</v>
      </c>
    </row>
    <row r="13" spans="1:10" x14ac:dyDescent="0.3">
      <c r="I13" s="36" t="s">
        <v>91</v>
      </c>
      <c r="J13" s="4">
        <f>_xlfn.XLOOKUP(J12,A2:A11,C2:C11,"Not Found")</f>
        <v>43000</v>
      </c>
    </row>
    <row r="14" spans="1:10" x14ac:dyDescent="0.3">
      <c r="J14" s="2"/>
    </row>
    <row r="15" spans="1:10" x14ac:dyDescent="0.3">
      <c r="I15" s="36" t="s">
        <v>75</v>
      </c>
      <c r="J15" s="4" t="s">
        <v>144</v>
      </c>
    </row>
    <row r="16" spans="1:10" x14ac:dyDescent="0.3">
      <c r="I16" s="37" t="s">
        <v>76</v>
      </c>
      <c r="J16" s="4" t="s">
        <v>79</v>
      </c>
    </row>
    <row r="17" spans="9:10" x14ac:dyDescent="0.3">
      <c r="I17" s="37" t="s">
        <v>1</v>
      </c>
      <c r="J17" s="4">
        <f>_xlfn.XLOOKUP(1,(E2:E11=J15)*(F2:F11=J16),G2:G11,"Not Found")</f>
        <v>52000</v>
      </c>
    </row>
  </sheetData>
  <pageMargins left="0.75" right="0.75" top="1" bottom="1" header="0.5" footer="0.5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2" width="18" customWidth="1"/>
    <col min="4" max="4" width="23.109375" customWidth="1"/>
    <col min="5" max="5" width="20" customWidth="1"/>
  </cols>
  <sheetData>
    <row r="1" spans="1:5" x14ac:dyDescent="0.3">
      <c r="A1" s="27" t="s">
        <v>0</v>
      </c>
      <c r="B1" s="34" t="s">
        <v>1</v>
      </c>
      <c r="D1" s="36" t="s">
        <v>2</v>
      </c>
      <c r="E1" s="4" t="s">
        <v>3</v>
      </c>
    </row>
    <row r="2" spans="1:5" x14ac:dyDescent="0.3">
      <c r="A2" s="49" t="s">
        <v>4</v>
      </c>
      <c r="B2" s="50">
        <v>50000</v>
      </c>
      <c r="D2" s="36" t="s">
        <v>5</v>
      </c>
      <c r="E2" s="4">
        <f>_xlfn.XMATCH(E1,A2:A21,0)</f>
        <v>4</v>
      </c>
    </row>
    <row r="3" spans="1:5" x14ac:dyDescent="0.3">
      <c r="A3" s="49" t="s">
        <v>6</v>
      </c>
      <c r="B3" s="50">
        <v>30000</v>
      </c>
    </row>
    <row r="4" spans="1:5" x14ac:dyDescent="0.3">
      <c r="A4" s="49" t="s">
        <v>4</v>
      </c>
      <c r="B4" s="50">
        <v>45000</v>
      </c>
    </row>
    <row r="5" spans="1:5" x14ac:dyDescent="0.3">
      <c r="A5" s="49" t="s">
        <v>3</v>
      </c>
      <c r="B5" s="50">
        <v>25000</v>
      </c>
    </row>
    <row r="6" spans="1:5" x14ac:dyDescent="0.3">
      <c r="A6" s="49" t="s">
        <v>6</v>
      </c>
      <c r="B6" s="50">
        <v>60000</v>
      </c>
    </row>
    <row r="7" spans="1:5" x14ac:dyDescent="0.3">
      <c r="A7" s="49" t="s">
        <v>4</v>
      </c>
      <c r="B7" s="50">
        <v>40000</v>
      </c>
    </row>
    <row r="8" spans="1:5" x14ac:dyDescent="0.3">
      <c r="A8" s="49" t="s">
        <v>3</v>
      </c>
      <c r="B8" s="50">
        <v>20000</v>
      </c>
    </row>
    <row r="9" spans="1:5" x14ac:dyDescent="0.3">
      <c r="A9" s="49" t="s">
        <v>4</v>
      </c>
      <c r="B9" s="50">
        <v>55000</v>
      </c>
    </row>
    <row r="10" spans="1:5" x14ac:dyDescent="0.3">
      <c r="A10" s="49" t="s">
        <v>6</v>
      </c>
      <c r="B10" s="50">
        <v>35000</v>
      </c>
    </row>
    <row r="11" spans="1:5" x14ac:dyDescent="0.3">
      <c r="A11" s="49" t="s">
        <v>3</v>
      </c>
      <c r="B11" s="50">
        <v>18000</v>
      </c>
    </row>
    <row r="12" spans="1:5" x14ac:dyDescent="0.3">
      <c r="A12" s="49" t="s">
        <v>4</v>
      </c>
      <c r="B12" s="50">
        <v>48000</v>
      </c>
    </row>
    <row r="13" spans="1:5" x14ac:dyDescent="0.3">
      <c r="A13" s="49" t="s">
        <v>6</v>
      </c>
      <c r="B13" s="50">
        <v>28000</v>
      </c>
    </row>
    <row r="14" spans="1:5" x14ac:dyDescent="0.3">
      <c r="A14" s="49" t="s">
        <v>4</v>
      </c>
      <c r="B14" s="50">
        <v>52000</v>
      </c>
    </row>
    <row r="15" spans="1:5" x14ac:dyDescent="0.3">
      <c r="A15" s="49" t="s">
        <v>4</v>
      </c>
      <c r="B15" s="50">
        <v>75000</v>
      </c>
    </row>
    <row r="16" spans="1:5" x14ac:dyDescent="0.3">
      <c r="A16" s="49" t="s">
        <v>3</v>
      </c>
      <c r="B16" s="50">
        <v>22000</v>
      </c>
    </row>
    <row r="17" spans="1:2" x14ac:dyDescent="0.3">
      <c r="A17" s="49" t="s">
        <v>6</v>
      </c>
      <c r="B17" s="50">
        <v>46000</v>
      </c>
    </row>
    <row r="18" spans="1:2" x14ac:dyDescent="0.3">
      <c r="A18" s="49" t="s">
        <v>4</v>
      </c>
      <c r="B18" s="50">
        <v>39000</v>
      </c>
    </row>
    <row r="19" spans="1:2" x14ac:dyDescent="0.3">
      <c r="A19" s="49" t="s">
        <v>6</v>
      </c>
      <c r="B19" s="50">
        <v>41000</v>
      </c>
    </row>
    <row r="20" spans="1:2" x14ac:dyDescent="0.3">
      <c r="A20" s="49" t="s">
        <v>3</v>
      </c>
      <c r="B20" s="50">
        <v>17000</v>
      </c>
    </row>
    <row r="21" spans="1:2" x14ac:dyDescent="0.3">
      <c r="A21" s="51" t="s">
        <v>4</v>
      </c>
      <c r="B21" s="52">
        <v>68000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>
      <pane ySplit="1" topLeftCell="A2" activePane="bottomLeft" state="frozen"/>
      <selection pane="bottomLeft" activeCell="E2" sqref="E2"/>
    </sheetView>
  </sheetViews>
  <sheetFormatPr defaultRowHeight="14.4" x14ac:dyDescent="0.3"/>
  <cols>
    <col min="1" max="2" width="18" customWidth="1"/>
    <col min="4" max="4" width="20" customWidth="1"/>
    <col min="5" max="5" width="14.109375" customWidth="1"/>
  </cols>
  <sheetData>
    <row r="1" spans="1:5" x14ac:dyDescent="0.3">
      <c r="A1" s="40" t="s">
        <v>76</v>
      </c>
      <c r="B1" s="44" t="s">
        <v>1</v>
      </c>
      <c r="D1" s="36" t="s">
        <v>108</v>
      </c>
      <c r="E1" s="4" t="s">
        <v>109</v>
      </c>
    </row>
    <row r="2" spans="1:5" x14ac:dyDescent="0.3">
      <c r="A2" s="4" t="s">
        <v>78</v>
      </c>
      <c r="B2" s="4">
        <v>12000</v>
      </c>
      <c r="D2" s="36" t="s">
        <v>110</v>
      </c>
      <c r="E2" s="4">
        <f ca="1">INDIRECT(E1)</f>
        <v>21000</v>
      </c>
    </row>
    <row r="3" spans="1:5" x14ac:dyDescent="0.3">
      <c r="A3" s="4" t="s">
        <v>79</v>
      </c>
      <c r="B3" s="4">
        <v>15000</v>
      </c>
    </row>
    <row r="4" spans="1:5" x14ac:dyDescent="0.3">
      <c r="A4" s="4" t="s">
        <v>81</v>
      </c>
      <c r="B4" s="4">
        <v>18000</v>
      </c>
    </row>
    <row r="5" spans="1:5" x14ac:dyDescent="0.3">
      <c r="A5" s="4" t="s">
        <v>111</v>
      </c>
      <c r="B5" s="4">
        <v>21000</v>
      </c>
    </row>
    <row r="6" spans="1:5" x14ac:dyDescent="0.3">
      <c r="A6" s="4" t="s">
        <v>112</v>
      </c>
      <c r="B6" s="4">
        <v>25000</v>
      </c>
    </row>
    <row r="7" spans="1:5" x14ac:dyDescent="0.3">
      <c r="A7" s="4" t="s">
        <v>113</v>
      </c>
      <c r="B7" s="4">
        <v>23000</v>
      </c>
    </row>
    <row r="8" spans="1:5" x14ac:dyDescent="0.3">
      <c r="A8" s="4" t="s">
        <v>114</v>
      </c>
      <c r="B8" s="4">
        <v>27000</v>
      </c>
    </row>
    <row r="9" spans="1:5" x14ac:dyDescent="0.3">
      <c r="A9" s="4" t="s">
        <v>115</v>
      </c>
      <c r="B9" s="4">
        <v>30000</v>
      </c>
    </row>
    <row r="10" spans="1:5" x14ac:dyDescent="0.3">
      <c r="A10" s="4" t="s">
        <v>116</v>
      </c>
      <c r="B10" s="4">
        <v>28000</v>
      </c>
    </row>
    <row r="11" spans="1:5" x14ac:dyDescent="0.3">
      <c r="A11" s="4" t="s">
        <v>117</v>
      </c>
      <c r="B11" s="4">
        <v>32000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1"/>
  <sheetViews>
    <sheetView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2" width="18" customWidth="1"/>
    <col min="4" max="4" width="23.88671875" customWidth="1"/>
    <col min="5" max="5" width="14.6640625" customWidth="1"/>
  </cols>
  <sheetData>
    <row r="1" spans="1:5" x14ac:dyDescent="0.3">
      <c r="A1" s="33" t="s">
        <v>76</v>
      </c>
      <c r="B1" s="34" t="s">
        <v>1</v>
      </c>
      <c r="D1" s="36" t="s">
        <v>118</v>
      </c>
      <c r="E1" s="4" t="s">
        <v>119</v>
      </c>
    </row>
    <row r="2" spans="1:5" x14ac:dyDescent="0.3">
      <c r="A2" s="7" t="s">
        <v>78</v>
      </c>
      <c r="B2" s="8">
        <v>12000</v>
      </c>
      <c r="D2" s="36" t="s">
        <v>120</v>
      </c>
      <c r="E2" s="4">
        <f ca="1">OFFSET(B2,4,0)</f>
        <v>25000</v>
      </c>
    </row>
    <row r="3" spans="1:5" x14ac:dyDescent="0.3">
      <c r="A3" s="7" t="s">
        <v>79</v>
      </c>
      <c r="B3" s="8">
        <v>15000</v>
      </c>
      <c r="D3" s="36" t="s">
        <v>121</v>
      </c>
      <c r="E3" s="4">
        <f ca="1">SUM(OFFSET(B2,0,0,5,1))</f>
        <v>91000</v>
      </c>
    </row>
    <row r="4" spans="1:5" x14ac:dyDescent="0.3">
      <c r="A4" s="7" t="s">
        <v>81</v>
      </c>
      <c r="B4" s="8">
        <v>18000</v>
      </c>
    </row>
    <row r="5" spans="1:5" x14ac:dyDescent="0.3">
      <c r="A5" s="7" t="s">
        <v>111</v>
      </c>
      <c r="B5" s="8">
        <v>21000</v>
      </c>
    </row>
    <row r="6" spans="1:5" x14ac:dyDescent="0.3">
      <c r="A6" s="7" t="s">
        <v>112</v>
      </c>
      <c r="B6" s="8">
        <v>25000</v>
      </c>
    </row>
    <row r="7" spans="1:5" x14ac:dyDescent="0.3">
      <c r="A7" s="7" t="s">
        <v>113</v>
      </c>
      <c r="B7" s="8">
        <v>23000</v>
      </c>
    </row>
    <row r="8" spans="1:5" x14ac:dyDescent="0.3">
      <c r="A8" s="7" t="s">
        <v>114</v>
      </c>
      <c r="B8" s="8">
        <v>27000</v>
      </c>
    </row>
    <row r="9" spans="1:5" x14ac:dyDescent="0.3">
      <c r="A9" s="7" t="s">
        <v>115</v>
      </c>
      <c r="B9" s="8">
        <v>30000</v>
      </c>
    </row>
    <row r="10" spans="1:5" x14ac:dyDescent="0.3">
      <c r="A10" s="7" t="s">
        <v>116</v>
      </c>
      <c r="B10" s="8">
        <v>28000</v>
      </c>
    </row>
    <row r="11" spans="1:5" x14ac:dyDescent="0.3">
      <c r="A11" s="9" t="s">
        <v>117</v>
      </c>
      <c r="B11" s="10">
        <v>32000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workbookViewId="0">
      <pane ySplit="1" topLeftCell="A2" activePane="bottomLeft" state="frozen"/>
      <selection pane="bottomLeft" activeCell="E25" sqref="E25"/>
    </sheetView>
  </sheetViews>
  <sheetFormatPr defaultRowHeight="14.4" x14ac:dyDescent="0.3"/>
  <cols>
    <col min="1" max="4" width="18" customWidth="1"/>
    <col min="6" max="6" width="14.77734375" customWidth="1"/>
    <col min="7" max="7" width="15.88671875" customWidth="1"/>
  </cols>
  <sheetData>
    <row r="1" spans="1:7" x14ac:dyDescent="0.3">
      <c r="A1" s="33" t="s">
        <v>7</v>
      </c>
      <c r="B1" s="28" t="s">
        <v>122</v>
      </c>
      <c r="C1" s="28" t="s">
        <v>123</v>
      </c>
      <c r="D1" s="34" t="s">
        <v>124</v>
      </c>
      <c r="F1" s="36" t="s">
        <v>125</v>
      </c>
      <c r="G1" s="36" t="s">
        <v>126</v>
      </c>
    </row>
    <row r="2" spans="1:7" x14ac:dyDescent="0.3">
      <c r="A2" s="7" t="s">
        <v>14</v>
      </c>
      <c r="B2" s="45">
        <v>38122</v>
      </c>
      <c r="C2" s="45">
        <v>46023</v>
      </c>
      <c r="D2" s="46">
        <v>46295</v>
      </c>
      <c r="F2" s="4">
        <f t="shared" ref="F2:F11" si="0">DATEDIF(B2,DATE(2026,9,30),"Y")</f>
        <v>22</v>
      </c>
      <c r="G2" s="4">
        <f t="shared" ref="G2:G11" si="1">D2-C2</f>
        <v>272</v>
      </c>
    </row>
    <row r="3" spans="1:7" x14ac:dyDescent="0.3">
      <c r="A3" s="7" t="s">
        <v>15</v>
      </c>
      <c r="B3" s="45">
        <v>37853</v>
      </c>
      <c r="C3" s="45">
        <v>46054</v>
      </c>
      <c r="D3" s="46">
        <v>46295</v>
      </c>
      <c r="F3" s="4">
        <f t="shared" si="0"/>
        <v>23</v>
      </c>
      <c r="G3" s="4">
        <f t="shared" si="1"/>
        <v>241</v>
      </c>
    </row>
    <row r="4" spans="1:7" x14ac:dyDescent="0.3">
      <c r="A4" s="7" t="s">
        <v>16</v>
      </c>
      <c r="B4" s="45">
        <v>38362</v>
      </c>
      <c r="C4" s="45">
        <v>46096</v>
      </c>
      <c r="D4" s="46">
        <v>46295</v>
      </c>
      <c r="F4" s="4">
        <f t="shared" si="0"/>
        <v>21</v>
      </c>
      <c r="G4" s="4">
        <f t="shared" si="1"/>
        <v>199</v>
      </c>
    </row>
    <row r="5" spans="1:7" x14ac:dyDescent="0.3">
      <c r="A5" s="7" t="s">
        <v>17</v>
      </c>
      <c r="B5" s="45">
        <v>38316</v>
      </c>
      <c r="C5" s="45">
        <v>46113</v>
      </c>
      <c r="D5" s="46">
        <v>46295</v>
      </c>
      <c r="F5" s="4">
        <f t="shared" si="0"/>
        <v>21</v>
      </c>
      <c r="G5" s="4">
        <f t="shared" si="1"/>
        <v>182</v>
      </c>
    </row>
    <row r="6" spans="1:7" x14ac:dyDescent="0.3">
      <c r="A6" s="7" t="s">
        <v>18</v>
      </c>
      <c r="B6" s="45">
        <v>37437</v>
      </c>
      <c r="C6" s="45">
        <v>46152</v>
      </c>
      <c r="D6" s="46">
        <v>46295</v>
      </c>
      <c r="F6" s="4">
        <f t="shared" si="0"/>
        <v>24</v>
      </c>
      <c r="G6" s="4">
        <f t="shared" si="1"/>
        <v>143</v>
      </c>
    </row>
    <row r="7" spans="1:7" x14ac:dyDescent="0.3">
      <c r="A7" s="7" t="s">
        <v>19</v>
      </c>
      <c r="B7" s="45">
        <v>38423</v>
      </c>
      <c r="C7" s="45">
        <v>46188</v>
      </c>
      <c r="D7" s="46">
        <v>46295</v>
      </c>
      <c r="F7" s="4">
        <f t="shared" si="0"/>
        <v>21</v>
      </c>
      <c r="G7" s="4">
        <f t="shared" si="1"/>
        <v>107</v>
      </c>
    </row>
    <row r="8" spans="1:7" x14ac:dyDescent="0.3">
      <c r="A8" s="7" t="s">
        <v>20</v>
      </c>
      <c r="B8" s="45">
        <v>37820</v>
      </c>
      <c r="C8" s="45">
        <v>46204</v>
      </c>
      <c r="D8" s="46">
        <v>46295</v>
      </c>
      <c r="F8" s="4">
        <f t="shared" si="0"/>
        <v>23</v>
      </c>
      <c r="G8" s="4">
        <f t="shared" si="1"/>
        <v>91</v>
      </c>
    </row>
    <row r="9" spans="1:7" x14ac:dyDescent="0.3">
      <c r="A9" s="7" t="s">
        <v>21</v>
      </c>
      <c r="B9" s="45">
        <v>37139</v>
      </c>
      <c r="C9" s="45">
        <v>46244</v>
      </c>
      <c r="D9" s="46">
        <v>46295</v>
      </c>
      <c r="F9" s="4">
        <f t="shared" si="0"/>
        <v>25</v>
      </c>
      <c r="G9" s="4">
        <f t="shared" si="1"/>
        <v>51</v>
      </c>
    </row>
    <row r="10" spans="1:7" x14ac:dyDescent="0.3">
      <c r="A10" s="7" t="s">
        <v>22</v>
      </c>
      <c r="B10" s="45">
        <v>38039</v>
      </c>
      <c r="C10" s="45">
        <v>46266</v>
      </c>
      <c r="D10" s="46">
        <v>46295</v>
      </c>
      <c r="F10" s="4">
        <f t="shared" si="0"/>
        <v>22</v>
      </c>
      <c r="G10" s="4">
        <f t="shared" si="1"/>
        <v>29</v>
      </c>
    </row>
    <row r="11" spans="1:7" x14ac:dyDescent="0.3">
      <c r="A11" s="9" t="s">
        <v>23</v>
      </c>
      <c r="B11" s="47">
        <v>37539</v>
      </c>
      <c r="C11" s="47">
        <v>46027</v>
      </c>
      <c r="D11" s="48">
        <v>46295</v>
      </c>
      <c r="F11" s="4">
        <f t="shared" si="0"/>
        <v>23</v>
      </c>
      <c r="G11" s="4">
        <f t="shared" si="1"/>
        <v>268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1"/>
  <sheetViews>
    <sheetView workbookViewId="0">
      <pane ySplit="1" topLeftCell="A2" activePane="bottomLeft" state="frozen"/>
      <selection pane="bottomLeft" sqref="A1:B11"/>
    </sheetView>
  </sheetViews>
  <sheetFormatPr defaultRowHeight="14.4" x14ac:dyDescent="0.3"/>
  <cols>
    <col min="1" max="2" width="18" customWidth="1"/>
  </cols>
  <sheetData>
    <row r="1" spans="1:6" x14ac:dyDescent="0.3">
      <c r="A1" s="33" t="s">
        <v>127</v>
      </c>
      <c r="B1" s="34" t="s">
        <v>128</v>
      </c>
      <c r="D1" s="36" t="s">
        <v>129</v>
      </c>
      <c r="E1" s="36" t="s">
        <v>130</v>
      </c>
      <c r="F1" s="36" t="s">
        <v>131</v>
      </c>
    </row>
    <row r="2" spans="1:6" x14ac:dyDescent="0.3">
      <c r="A2" s="7" t="s">
        <v>132</v>
      </c>
      <c r="B2" s="8">
        <v>125.678</v>
      </c>
      <c r="D2" s="4">
        <f t="shared" ref="D2:D11" si="0">ROUND(B2,2)</f>
        <v>125.68</v>
      </c>
      <c r="E2" s="4">
        <f t="shared" ref="E2:E11" si="1">CEILING(B2,1)</f>
        <v>126</v>
      </c>
      <c r="F2" s="4">
        <f t="shared" ref="F2:F11" si="2">FLOOR(B2,1)</f>
        <v>125</v>
      </c>
    </row>
    <row r="3" spans="1:6" x14ac:dyDescent="0.3">
      <c r="A3" s="7" t="s">
        <v>133</v>
      </c>
      <c r="B3" s="8">
        <v>234.45599999999999</v>
      </c>
      <c r="D3" s="4">
        <f t="shared" si="0"/>
        <v>234.46</v>
      </c>
      <c r="E3" s="4">
        <f t="shared" si="1"/>
        <v>235</v>
      </c>
      <c r="F3" s="4">
        <f t="shared" si="2"/>
        <v>234</v>
      </c>
    </row>
    <row r="4" spans="1:6" x14ac:dyDescent="0.3">
      <c r="A4" s="7" t="s">
        <v>134</v>
      </c>
      <c r="B4" s="8">
        <v>98.765000000000001</v>
      </c>
      <c r="D4" s="4">
        <f t="shared" si="0"/>
        <v>98.77</v>
      </c>
      <c r="E4" s="4">
        <f t="shared" si="1"/>
        <v>99</v>
      </c>
      <c r="F4" s="4">
        <f t="shared" si="2"/>
        <v>98</v>
      </c>
    </row>
    <row r="5" spans="1:6" x14ac:dyDescent="0.3">
      <c r="A5" s="7" t="s">
        <v>135</v>
      </c>
      <c r="B5" s="8">
        <v>456.78899999999999</v>
      </c>
      <c r="D5" s="4">
        <f t="shared" si="0"/>
        <v>456.79</v>
      </c>
      <c r="E5" s="4">
        <f t="shared" si="1"/>
        <v>457</v>
      </c>
      <c r="F5" s="4">
        <f t="shared" si="2"/>
        <v>456</v>
      </c>
    </row>
    <row r="6" spans="1:6" x14ac:dyDescent="0.3">
      <c r="A6" s="7" t="s">
        <v>136</v>
      </c>
      <c r="B6" s="8">
        <v>512.34500000000003</v>
      </c>
      <c r="D6" s="4">
        <f t="shared" si="0"/>
        <v>512.35</v>
      </c>
      <c r="E6" s="4">
        <f t="shared" si="1"/>
        <v>513</v>
      </c>
      <c r="F6" s="4">
        <f t="shared" si="2"/>
        <v>512</v>
      </c>
    </row>
    <row r="7" spans="1:6" x14ac:dyDescent="0.3">
      <c r="A7" s="7" t="s">
        <v>137</v>
      </c>
      <c r="B7" s="8">
        <v>321.654</v>
      </c>
      <c r="D7" s="4">
        <f t="shared" si="0"/>
        <v>321.64999999999998</v>
      </c>
      <c r="E7" s="4">
        <f t="shared" si="1"/>
        <v>322</v>
      </c>
      <c r="F7" s="4">
        <f t="shared" si="2"/>
        <v>321</v>
      </c>
    </row>
    <row r="8" spans="1:6" x14ac:dyDescent="0.3">
      <c r="A8" s="7" t="s">
        <v>138</v>
      </c>
      <c r="B8" s="8">
        <v>189.43199999999999</v>
      </c>
      <c r="D8" s="4">
        <f t="shared" si="0"/>
        <v>189.43</v>
      </c>
      <c r="E8" s="4">
        <f t="shared" si="1"/>
        <v>190</v>
      </c>
      <c r="F8" s="4">
        <f t="shared" si="2"/>
        <v>189</v>
      </c>
    </row>
    <row r="9" spans="1:6" x14ac:dyDescent="0.3">
      <c r="A9" s="7" t="s">
        <v>139</v>
      </c>
      <c r="B9" s="8">
        <v>278.99900000000002</v>
      </c>
      <c r="D9" s="4">
        <f t="shared" si="0"/>
        <v>279</v>
      </c>
      <c r="E9" s="4">
        <f t="shared" si="1"/>
        <v>279</v>
      </c>
      <c r="F9" s="4">
        <f t="shared" si="2"/>
        <v>278</v>
      </c>
    </row>
    <row r="10" spans="1:6" x14ac:dyDescent="0.3">
      <c r="A10" s="7" t="s">
        <v>140</v>
      </c>
      <c r="B10" s="8">
        <v>399.11099999999999</v>
      </c>
      <c r="D10" s="4">
        <f t="shared" si="0"/>
        <v>399.11</v>
      </c>
      <c r="E10" s="4">
        <f t="shared" si="1"/>
        <v>400</v>
      </c>
      <c r="F10" s="4">
        <f t="shared" si="2"/>
        <v>399</v>
      </c>
    </row>
    <row r="11" spans="1:6" x14ac:dyDescent="0.3">
      <c r="A11" s="9" t="s">
        <v>141</v>
      </c>
      <c r="B11" s="10">
        <v>145.55500000000001</v>
      </c>
      <c r="D11" s="4">
        <f t="shared" si="0"/>
        <v>145.56</v>
      </c>
      <c r="E11" s="4">
        <f t="shared" si="1"/>
        <v>146</v>
      </c>
      <c r="F11" s="4">
        <f t="shared" si="2"/>
        <v>145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tabSelected="1" workbookViewId="0">
      <pane ySplit="1" topLeftCell="A2" activePane="bottomLeft" state="frozen"/>
      <selection pane="bottomLeft" activeCell="E15" sqref="E15"/>
    </sheetView>
  </sheetViews>
  <sheetFormatPr defaultRowHeight="14.4" x14ac:dyDescent="0.3"/>
  <cols>
    <col min="1" max="3" width="18" customWidth="1"/>
    <col min="5" max="6" width="20.6640625" customWidth="1"/>
  </cols>
  <sheetData>
    <row r="1" spans="1:8" x14ac:dyDescent="0.3">
      <c r="A1" s="33" t="s">
        <v>49</v>
      </c>
      <c r="B1" s="28" t="s">
        <v>7</v>
      </c>
      <c r="C1" s="34" t="s">
        <v>142</v>
      </c>
      <c r="E1" s="43" t="s">
        <v>143</v>
      </c>
      <c r="F1" s="4" cm="1">
        <f t="array" ref="F1:H8">_xlfn._xlws.FILTER(A2:C21,C2:C21&gt;80,"No students")</f>
        <v>101</v>
      </c>
      <c r="G1" s="4" t="str">
        <v>Aastha</v>
      </c>
      <c r="H1" s="4">
        <v>85</v>
      </c>
    </row>
    <row r="2" spans="1:8" x14ac:dyDescent="0.3">
      <c r="A2" s="7">
        <v>101</v>
      </c>
      <c r="B2" s="4" t="s">
        <v>146</v>
      </c>
      <c r="C2" s="8">
        <v>85</v>
      </c>
      <c r="F2" s="4">
        <v>105</v>
      </c>
      <c r="G2" s="4" t="str">
        <v>Amit</v>
      </c>
      <c r="H2" s="4">
        <v>91</v>
      </c>
    </row>
    <row r="3" spans="1:8" x14ac:dyDescent="0.3">
      <c r="A3" s="7">
        <v>102</v>
      </c>
      <c r="B3" s="4" t="s">
        <v>15</v>
      </c>
      <c r="C3" s="8">
        <v>72</v>
      </c>
      <c r="F3" s="4">
        <v>109</v>
      </c>
      <c r="G3" s="4" t="str">
        <v>Pooja</v>
      </c>
      <c r="H3" s="4">
        <v>88</v>
      </c>
    </row>
    <row r="4" spans="1:8" x14ac:dyDescent="0.3">
      <c r="A4" s="7">
        <v>103</v>
      </c>
      <c r="B4" s="4" t="s">
        <v>16</v>
      </c>
      <c r="C4" s="8">
        <v>55</v>
      </c>
      <c r="F4" s="4">
        <v>111</v>
      </c>
      <c r="G4" s="4" t="str">
        <v>Meera</v>
      </c>
      <c r="H4" s="4">
        <v>83</v>
      </c>
    </row>
    <row r="5" spans="1:8" x14ac:dyDescent="0.3">
      <c r="A5" s="7">
        <v>104</v>
      </c>
      <c r="B5" s="4" t="s">
        <v>17</v>
      </c>
      <c r="C5" s="8">
        <v>68</v>
      </c>
      <c r="F5" s="4">
        <v>114</v>
      </c>
      <c r="G5" s="4" t="str">
        <v>Anjali</v>
      </c>
      <c r="H5" s="4">
        <v>94</v>
      </c>
    </row>
    <row r="6" spans="1:8" x14ac:dyDescent="0.3">
      <c r="A6" s="7">
        <v>105</v>
      </c>
      <c r="B6" s="4" t="s">
        <v>18</v>
      </c>
      <c r="C6" s="8">
        <v>91</v>
      </c>
      <c r="F6" s="4">
        <v>116</v>
      </c>
      <c r="G6" s="4" t="str">
        <v>Isha</v>
      </c>
      <c r="H6" s="4">
        <v>87</v>
      </c>
    </row>
    <row r="7" spans="1:8" x14ac:dyDescent="0.3">
      <c r="A7" s="7">
        <v>106</v>
      </c>
      <c r="B7" s="4" t="s">
        <v>14</v>
      </c>
      <c r="C7" s="8">
        <v>64</v>
      </c>
      <c r="F7" s="4">
        <v>118</v>
      </c>
      <c r="G7" s="4" t="str">
        <v>Komal</v>
      </c>
      <c r="H7" s="4">
        <v>81</v>
      </c>
    </row>
    <row r="8" spans="1:8" x14ac:dyDescent="0.3">
      <c r="A8" s="7">
        <v>107</v>
      </c>
      <c r="B8" s="4" t="s">
        <v>20</v>
      </c>
      <c r="C8" s="8">
        <v>48</v>
      </c>
      <c r="F8" s="4">
        <v>120</v>
      </c>
      <c r="G8" s="4" t="str">
        <v>Hetal</v>
      </c>
      <c r="H8" s="4">
        <v>90</v>
      </c>
    </row>
    <row r="9" spans="1:8" x14ac:dyDescent="0.3">
      <c r="A9" s="7">
        <v>108</v>
      </c>
      <c r="B9" s="4" t="s">
        <v>21</v>
      </c>
      <c r="C9" s="8">
        <v>79</v>
      </c>
    </row>
    <row r="10" spans="1:8" x14ac:dyDescent="0.3">
      <c r="A10" s="7">
        <v>109</v>
      </c>
      <c r="B10" s="4" t="s">
        <v>22</v>
      </c>
      <c r="C10" s="8">
        <v>88</v>
      </c>
    </row>
    <row r="11" spans="1:8" x14ac:dyDescent="0.3">
      <c r="A11" s="7">
        <v>110</v>
      </c>
      <c r="B11" s="4" t="s">
        <v>23</v>
      </c>
      <c r="C11" s="8">
        <v>39</v>
      </c>
    </row>
    <row r="12" spans="1:8" x14ac:dyDescent="0.3">
      <c r="A12" s="7">
        <v>111</v>
      </c>
      <c r="B12" s="4" t="s">
        <v>24</v>
      </c>
      <c r="C12" s="8">
        <v>83</v>
      </c>
    </row>
    <row r="13" spans="1:8" x14ac:dyDescent="0.3">
      <c r="A13" s="7">
        <v>112</v>
      </c>
      <c r="B13" s="4" t="s">
        <v>25</v>
      </c>
      <c r="C13" s="8">
        <v>61</v>
      </c>
    </row>
    <row r="14" spans="1:8" x14ac:dyDescent="0.3">
      <c r="A14" s="7">
        <v>113</v>
      </c>
      <c r="B14" s="4" t="s">
        <v>26</v>
      </c>
      <c r="C14" s="8">
        <v>76</v>
      </c>
    </row>
    <row r="15" spans="1:8" x14ac:dyDescent="0.3">
      <c r="A15" s="7">
        <v>114</v>
      </c>
      <c r="B15" s="4" t="s">
        <v>27</v>
      </c>
      <c r="C15" s="8">
        <v>94</v>
      </c>
    </row>
    <row r="16" spans="1:8" x14ac:dyDescent="0.3">
      <c r="A16" s="7">
        <v>115</v>
      </c>
      <c r="B16" s="4" t="s">
        <v>28</v>
      </c>
      <c r="C16" s="8">
        <v>52</v>
      </c>
    </row>
    <row r="17" spans="1:3" x14ac:dyDescent="0.3">
      <c r="A17" s="7">
        <v>116</v>
      </c>
      <c r="B17" s="4" t="s">
        <v>29</v>
      </c>
      <c r="C17" s="8">
        <v>87</v>
      </c>
    </row>
    <row r="18" spans="1:3" x14ac:dyDescent="0.3">
      <c r="A18" s="7">
        <v>117</v>
      </c>
      <c r="B18" s="4" t="s">
        <v>30</v>
      </c>
      <c r="C18" s="8">
        <v>67</v>
      </c>
    </row>
    <row r="19" spans="1:3" x14ac:dyDescent="0.3">
      <c r="A19" s="7">
        <v>118</v>
      </c>
      <c r="B19" s="4" t="s">
        <v>31</v>
      </c>
      <c r="C19" s="8">
        <v>81</v>
      </c>
    </row>
    <row r="20" spans="1:3" x14ac:dyDescent="0.3">
      <c r="A20" s="7">
        <v>119</v>
      </c>
      <c r="B20" s="4" t="s">
        <v>32</v>
      </c>
      <c r="C20" s="8">
        <v>44</v>
      </c>
    </row>
    <row r="21" spans="1:3" x14ac:dyDescent="0.3">
      <c r="A21" s="9">
        <v>120</v>
      </c>
      <c r="B21" s="5" t="s">
        <v>33</v>
      </c>
      <c r="C21" s="10">
        <v>90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01_Relative_Absolute</vt:lpstr>
      <vt:lpstr>02_Nested_IF</vt:lpstr>
      <vt:lpstr>03_IF_AND_OR</vt:lpstr>
      <vt:lpstr>04_COUNTIFS_SUMIFS</vt:lpstr>
      <vt:lpstr>05_VLOOKUP_Student</vt:lpstr>
      <vt:lpstr>06_VLOOKUP_Product</vt:lpstr>
      <vt:lpstr>07_INDEX_MATCH</vt:lpstr>
      <vt:lpstr>08_Employee</vt:lpstr>
      <vt:lpstr>09_TEXT</vt:lpstr>
      <vt:lpstr>10_XLOOKUP</vt:lpstr>
      <vt:lpstr>11_XMATCH</vt:lpstr>
      <vt:lpstr>12_INDIRECT</vt:lpstr>
      <vt:lpstr>13_OFFSET</vt:lpstr>
      <vt:lpstr>14_Date_Time</vt:lpstr>
      <vt:lpstr>15_Math</vt:lpstr>
      <vt:lpstr>16_FILTER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priyavadsak9836@outlook.com</cp:lastModifiedBy>
  <dcterms:created xsi:type="dcterms:W3CDTF">2026-09-30T05:38:13Z</dcterms:created>
  <dcterms:modified xsi:type="dcterms:W3CDTF">2026-10-05T15:32:56Z</dcterms:modified>
</cp:coreProperties>
</file>